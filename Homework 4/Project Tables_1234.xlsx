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 Of Data Science\ANA 625\Module_4\Project\"/>
    </mc:Choice>
  </mc:AlternateContent>
  <xr:revisionPtr revIDLastSave="0" documentId="13_ncr:1_{33114E1B-F7EB-4E39-A733-02357CCEE7C2}" xr6:coauthVersionLast="47" xr6:coauthVersionMax="47" xr10:uidLastSave="{00000000-0000-0000-0000-000000000000}"/>
  <bookViews>
    <workbookView xWindow="-28920" yWindow="-120" windowWidth="29040" windowHeight="15720" xr2:uid="{E13DBE7B-5EB0-4AB2-A1E8-AE1A37D666BB}"/>
  </bookViews>
  <sheets>
    <sheet name="Table 1" sheetId="1" r:id="rId1"/>
    <sheet name="Table 2" sheetId="2" r:id="rId2"/>
    <sheet name="Table 3" sheetId="3" r:id="rId3"/>
    <sheet name="Table 4" sheetId="4" r:id="rId4"/>
  </sheets>
  <definedNames>
    <definedName name="_Hlk83219226" localSheetId="1">'Table 2'!$A$14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1" i="4" l="1"/>
  <c r="O80" i="4"/>
  <c r="O79" i="4"/>
</calcChain>
</file>

<file path=xl/sharedStrings.xml><?xml version="1.0" encoding="utf-8"?>
<sst xmlns="http://schemas.openxmlformats.org/spreadsheetml/2006/main" count="539" uniqueCount="142">
  <si>
    <t>Sample Population</t>
  </si>
  <si>
    <t>Variable</t>
  </si>
  <si>
    <t>N</t>
  </si>
  <si>
    <t>%</t>
  </si>
  <si>
    <t>n</t>
  </si>
  <si>
    <t>p value *</t>
  </si>
  <si>
    <t>Sex</t>
  </si>
  <si>
    <t>* p values based on Pearson chi-square test of association</t>
  </si>
  <si>
    <t xml:space="preserve">   No</t>
  </si>
  <si>
    <t xml:space="preserve">   Yes</t>
  </si>
  <si>
    <t>&lt;0.001</t>
  </si>
  <si>
    <t>**due to rounding, some % may not add up to 100%</t>
  </si>
  <si>
    <t xml:space="preserve">     No</t>
  </si>
  <si>
    <t xml:space="preserve">     Yes</t>
  </si>
  <si>
    <t xml:space="preserve"> </t>
  </si>
  <si>
    <t>No</t>
  </si>
  <si>
    <t>Yes</t>
  </si>
  <si>
    <t>Age</t>
  </si>
  <si>
    <t>Race</t>
  </si>
  <si>
    <t xml:space="preserve">    Female</t>
  </si>
  <si>
    <t xml:space="preserve">    Male</t>
  </si>
  <si>
    <t xml:space="preserve">    18 to 34</t>
  </si>
  <si>
    <t xml:space="preserve">    35 to 54</t>
  </si>
  <si>
    <t xml:space="preserve">    55+</t>
  </si>
  <si>
    <t xml:space="preserve">    White</t>
  </si>
  <si>
    <t xml:space="preserve">    Black</t>
  </si>
  <si>
    <t xml:space="preserve">    Asian</t>
  </si>
  <si>
    <t xml:space="preserve">    Native</t>
  </si>
  <si>
    <t xml:space="preserve">    Hispanic</t>
  </si>
  <si>
    <t xml:space="preserve">    Other</t>
  </si>
  <si>
    <t>Vaccine</t>
  </si>
  <si>
    <t xml:space="preserve">    No</t>
  </si>
  <si>
    <t xml:space="preserve">    Yes</t>
  </si>
  <si>
    <t xml:space="preserve">     18 to 34</t>
  </si>
  <si>
    <t xml:space="preserve">     35 to 54</t>
  </si>
  <si>
    <t xml:space="preserve">     55+</t>
  </si>
  <si>
    <t>OR*</t>
  </si>
  <si>
    <t>95% CI</t>
  </si>
  <si>
    <t>-----</t>
  </si>
  <si>
    <t>* 95% confidence intervals are for reported odds ratios.</t>
  </si>
  <si>
    <t>Covid</t>
  </si>
  <si>
    <t>1.021 - 1.106</t>
  </si>
  <si>
    <t>0.924 - 0.977</t>
  </si>
  <si>
    <t>1.782 - 1.879</t>
  </si>
  <si>
    <t>3.441 - 4.277</t>
  </si>
  <si>
    <t>16.385 - 20.118</t>
  </si>
  <si>
    <t>0.905 - 1.010</t>
  </si>
  <si>
    <t>0.547 - 0.668</t>
  </si>
  <si>
    <t>1.446 - 1.787</t>
  </si>
  <si>
    <t>0.950 - 1.050</t>
  </si>
  <si>
    <t>1.224 - 1.408</t>
  </si>
  <si>
    <t>Table 2.  Characteristics of 279,335 BRFSS 2022-2023 participants by cardiac arrest/myocardial infarction diagnosis.</t>
  </si>
  <si>
    <t>Table 3.  Logistic regression analysis comparing the adjusted odds ratio of cardiac arrest/myocardial infarction diagnosis in 279,335 BRFSS 2022-2023 participants.</t>
  </si>
  <si>
    <t>Table 1.  Characteristics of 279,335 BRFSS 2022-2023 participants by COVID-19 vaccination.</t>
  </si>
  <si>
    <t>Male</t>
  </si>
  <si>
    <t>Female</t>
  </si>
  <si>
    <t>18 to 34</t>
  </si>
  <si>
    <t>35 to 54</t>
  </si>
  <si>
    <t>55+</t>
  </si>
  <si>
    <t>White</t>
  </si>
  <si>
    <t>Black</t>
  </si>
  <si>
    <t>Asian</t>
  </si>
  <si>
    <t>Native</t>
  </si>
  <si>
    <t>Hispanic</t>
  </si>
  <si>
    <t>Other</t>
  </si>
  <si>
    <t>*</t>
  </si>
  <si>
    <t>0.589 - 1.070</t>
  </si>
  <si>
    <t>1.073 - 2.734</t>
  </si>
  <si>
    <t>0.467 - 1.751</t>
  </si>
  <si>
    <t>0.244 - 1.948</t>
  </si>
  <si>
    <t>1.169 - 2.290</t>
  </si>
  <si>
    <t>0.347 - 1.190</t>
  </si>
  <si>
    <t>0.699 - 0.909</t>
  </si>
  <si>
    <t>1.134 - 1.832</t>
  </si>
  <si>
    <t>0.414 - 1.078</t>
  </si>
  <si>
    <t>0.964 - 2.071</t>
  </si>
  <si>
    <t>1.137 - 1.732</t>
  </si>
  <si>
    <t>0.767 - 1.343</t>
  </si>
  <si>
    <t>0.896 -1.037</t>
  </si>
  <si>
    <t>0.919 - 1.339</t>
  </si>
  <si>
    <t>0.385 - 0.881</t>
  </si>
  <si>
    <t>0.738 - 1.328</t>
  </si>
  <si>
    <t>0.929 - 1.340</t>
  </si>
  <si>
    <t>0.822 - 1.260</t>
  </si>
  <si>
    <t>0.448 - 0.793</t>
  </si>
  <si>
    <t>0.546 - 1.436</t>
  </si>
  <si>
    <t>0.408 - 1.472</t>
  </si>
  <si>
    <t>0.161 - 1.299</t>
  </si>
  <si>
    <t>0.683 - 1.369</t>
  </si>
  <si>
    <t>0.233 - 0.795</t>
  </si>
  <si>
    <t>0.735 - 0.937</t>
  </si>
  <si>
    <t>0.807 - 1.325</t>
  </si>
  <si>
    <t>0.499 - 1.261</t>
  </si>
  <si>
    <t>0.887 - 1.909</t>
  </si>
  <si>
    <t>0.931 - 1.420</t>
  </si>
  <si>
    <t>0.716 - 1.242</t>
  </si>
  <si>
    <t>1.319 - 1.512</t>
  </si>
  <si>
    <t>0.923 - 1.358</t>
  </si>
  <si>
    <t>0.654 - 1.450</t>
  </si>
  <si>
    <t>0.958 - 1.720</t>
  </si>
  <si>
    <t>1.083 - 1.634</t>
  </si>
  <si>
    <t>0.508 - 0.923</t>
  </si>
  <si>
    <t>1.071 - 1.543</t>
  </si>
  <si>
    <t>0.925 - 2.362</t>
  </si>
  <si>
    <t>0.403 - 1.512</t>
  </si>
  <si>
    <t>0.210 - 1.681</t>
  </si>
  <si>
    <t>1.009 - 1.977</t>
  </si>
  <si>
    <t>0.299 - 1.027</t>
  </si>
  <si>
    <t>0.603 - 0.785</t>
  </si>
  <si>
    <t>0.976 - 1.585</t>
  </si>
  <si>
    <t>0.357 - 0.931</t>
  </si>
  <si>
    <t>0.831 - 1.788</t>
  </si>
  <si>
    <t>0.980 - 1.497</t>
  </si>
  <si>
    <t>0.661 - 1.160</t>
  </si>
  <si>
    <t>0.767 - 0.902</t>
  </si>
  <si>
    <t>0.788 - 1.163</t>
  </si>
  <si>
    <t>0.332 - 0.762</t>
  </si>
  <si>
    <t>0.635 - 1.149</t>
  </si>
  <si>
    <t>0.797 - 1.162</t>
  </si>
  <si>
    <t>0.706 - 1.092</t>
  </si>
  <si>
    <t>0.387 - 0.684</t>
  </si>
  <si>
    <t>0.471 - 1.241</t>
  </si>
  <si>
    <t>0.352 - 1.271</t>
  </si>
  <si>
    <t>0.139 - 1.121</t>
  </si>
  <si>
    <t>0.588 - 1.183</t>
  </si>
  <si>
    <t>0.201 - 0.687</t>
  </si>
  <si>
    <t>0.632 - 0.811</t>
  </si>
  <si>
    <t>0.694 - 1.147</t>
  </si>
  <si>
    <t>0.430 - 1.090</t>
  </si>
  <si>
    <t>0.765 - 1.650</t>
  </si>
  <si>
    <t>0.801 - 1.229</t>
  </si>
  <si>
    <t>0.616 - 1.074</t>
  </si>
  <si>
    <t>1.125 - 1.320</t>
  </si>
  <si>
    <t>0.790 - 1.181</t>
  </si>
  <si>
    <t>0.563 - 1.255</t>
  </si>
  <si>
    <t>0.823 - 1.490</t>
  </si>
  <si>
    <t>0.918 - 1.340</t>
  </si>
  <si>
    <t>0.929 - 1.418</t>
  </si>
  <si>
    <t>MIN</t>
  </si>
  <si>
    <t>MAX</t>
  </si>
  <si>
    <t>AVG</t>
  </si>
  <si>
    <t>Table 4.  Adjusted odds ratios of cardiac arrest/myocardial infarction diagnosis in 279,335 BRFSS 2022-2023 participants with respect to covid vaccination, modified by covid test result, sex, age categories, and race.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</si>
</sst>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0"/>
    <numFmt numFmtId="165" formatCode="0.0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horizontal="center"/>
    </xf>
    <xf numFmtId="0" fontId="2" fillId="0" borderId="0" xfId="0" applyFont="1" applyAlignment="1">
      <alignment horizontal="right" vertical="center"/>
    </xf>
    <xf numFmtId="0" fontId="4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10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164" fontId="4" fillId="4" borderId="0" xfId="0" applyNumberFormat="1" applyFont="1" applyFill="1" applyAlignment="1">
      <alignment horizontal="center"/>
    </xf>
    <xf numFmtId="10" fontId="4" fillId="4" borderId="0" xfId="0" applyNumberFormat="1" applyFont="1" applyFill="1" applyAlignment="1">
      <alignment horizontal="center"/>
    </xf>
    <xf numFmtId="0" fontId="4" fillId="0" borderId="0" xfId="0" quotePrefix="1" applyFont="1" applyAlignment="1">
      <alignment horizontal="center"/>
    </xf>
    <xf numFmtId="0" fontId="6" fillId="0" borderId="31" xfId="0" applyFont="1" applyBorder="1" applyAlignment="1">
      <alignment horizontal="center"/>
    </xf>
    <xf numFmtId="0" fontId="5" fillId="0" borderId="3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3" fontId="7" fillId="0" borderId="7" xfId="0" applyNumberFormat="1" applyFont="1" applyBorder="1" applyAlignment="1">
      <alignment horizontal="center"/>
    </xf>
    <xf numFmtId="10" fontId="7" fillId="0" borderId="8" xfId="0" applyNumberFormat="1" applyFont="1" applyBorder="1" applyAlignment="1">
      <alignment horizontal="center"/>
    </xf>
    <xf numFmtId="3" fontId="7" fillId="0" borderId="6" xfId="0" applyNumberFormat="1" applyFont="1" applyBorder="1" applyAlignment="1">
      <alignment horizontal="center"/>
    </xf>
    <xf numFmtId="10" fontId="7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3" fontId="7" fillId="0" borderId="10" xfId="0" applyNumberFormat="1" applyFont="1" applyBorder="1" applyAlignment="1">
      <alignment horizontal="center"/>
    </xf>
    <xf numFmtId="10" fontId="7" fillId="0" borderId="11" xfId="0" applyNumberFormat="1" applyFont="1" applyBorder="1" applyAlignment="1">
      <alignment horizontal="center"/>
    </xf>
    <xf numFmtId="3" fontId="7" fillId="0" borderId="9" xfId="0" applyNumberFormat="1" applyFont="1" applyBorder="1" applyAlignment="1">
      <alignment horizontal="center"/>
    </xf>
    <xf numFmtId="10" fontId="7" fillId="0" borderId="9" xfId="0" applyNumberFormat="1" applyFont="1" applyBorder="1" applyAlignment="1">
      <alignment horizontal="center"/>
    </xf>
    <xf numFmtId="165" fontId="6" fillId="3" borderId="9" xfId="0" applyNumberFormat="1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6" fillId="0" borderId="9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3" fontId="7" fillId="0" borderId="16" xfId="0" applyNumberFormat="1" applyFont="1" applyBorder="1" applyAlignment="1">
      <alignment horizontal="center"/>
    </xf>
    <xf numFmtId="10" fontId="7" fillId="0" borderId="15" xfId="0" applyNumberFormat="1" applyFont="1" applyBorder="1" applyAlignment="1">
      <alignment horizontal="center"/>
    </xf>
    <xf numFmtId="3" fontId="7" fillId="0" borderId="17" xfId="0" applyNumberFormat="1" applyFont="1" applyBorder="1" applyAlignment="1">
      <alignment horizontal="center"/>
    </xf>
    <xf numFmtId="10" fontId="7" fillId="0" borderId="17" xfId="0" applyNumberFormat="1" applyFont="1" applyBorder="1" applyAlignment="1">
      <alignment horizontal="center"/>
    </xf>
    <xf numFmtId="165" fontId="6" fillId="0" borderId="17" xfId="0" applyNumberFormat="1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3" fontId="7" fillId="0" borderId="21" xfId="0" applyNumberFormat="1" applyFont="1" applyBorder="1" applyAlignment="1">
      <alignment horizontal="center"/>
    </xf>
    <xf numFmtId="10" fontId="7" fillId="0" borderId="22" xfId="0" applyNumberFormat="1" applyFont="1" applyBorder="1" applyAlignment="1">
      <alignment horizontal="center"/>
    </xf>
    <xf numFmtId="3" fontId="7" fillId="0" borderId="23" xfId="0" applyNumberFormat="1" applyFont="1" applyBorder="1" applyAlignment="1">
      <alignment horizontal="center"/>
    </xf>
    <xf numFmtId="10" fontId="7" fillId="0" borderId="23" xfId="0" applyNumberFormat="1" applyFont="1" applyBorder="1" applyAlignment="1">
      <alignment horizontal="center"/>
    </xf>
    <xf numFmtId="165" fontId="6" fillId="2" borderId="23" xfId="0" applyNumberFormat="1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3" fontId="7" fillId="0" borderId="13" xfId="0" applyNumberFormat="1" applyFont="1" applyBorder="1" applyAlignment="1">
      <alignment horizontal="center"/>
    </xf>
    <xf numFmtId="10" fontId="7" fillId="0" borderId="14" xfId="0" applyNumberFormat="1" applyFont="1" applyBorder="1" applyAlignment="1">
      <alignment horizontal="center"/>
    </xf>
    <xf numFmtId="3" fontId="7" fillId="0" borderId="12" xfId="0" applyNumberFormat="1" applyFont="1" applyBorder="1" applyAlignment="1">
      <alignment horizontal="center"/>
    </xf>
    <xf numFmtId="10" fontId="7" fillId="0" borderId="12" xfId="0" applyNumberFormat="1" applyFont="1" applyBorder="1" applyAlignment="1">
      <alignment horizontal="center"/>
    </xf>
    <xf numFmtId="165" fontId="6" fillId="0" borderId="12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3" fontId="7" fillId="0" borderId="8" xfId="0" applyNumberFormat="1" applyFont="1" applyBorder="1" applyAlignment="1">
      <alignment horizontal="center"/>
    </xf>
    <xf numFmtId="3" fontId="7" fillId="0" borderId="11" xfId="0" applyNumberFormat="1" applyFont="1" applyBorder="1" applyAlignment="1">
      <alignment horizontal="center"/>
    </xf>
    <xf numFmtId="165" fontId="6" fillId="2" borderId="9" xfId="0" applyNumberFormat="1" applyFont="1" applyFill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3" fontId="7" fillId="0" borderId="15" xfId="0" applyNumberFormat="1" applyFont="1" applyBorder="1" applyAlignment="1">
      <alignment horizontal="center"/>
    </xf>
    <xf numFmtId="3" fontId="7" fillId="0" borderId="18" xfId="0" applyNumberFormat="1" applyFont="1" applyBorder="1" applyAlignment="1">
      <alignment horizontal="center"/>
    </xf>
    <xf numFmtId="10" fontId="7" fillId="0" borderId="19" xfId="0" applyNumberFormat="1" applyFont="1" applyBorder="1" applyAlignment="1">
      <alignment horizontal="center"/>
    </xf>
    <xf numFmtId="3" fontId="7" fillId="0" borderId="20" xfId="0" applyNumberFormat="1" applyFont="1" applyBorder="1" applyAlignment="1">
      <alignment horizontal="center"/>
    </xf>
    <xf numFmtId="165" fontId="6" fillId="2" borderId="20" xfId="0" applyNumberFormat="1" applyFont="1" applyFill="1" applyBorder="1" applyAlignment="1">
      <alignment horizontal="center"/>
    </xf>
    <xf numFmtId="0" fontId="6" fillId="2" borderId="20" xfId="0" applyFont="1" applyFill="1" applyBorder="1" applyAlignment="1">
      <alignment horizontal="center"/>
    </xf>
    <xf numFmtId="165" fontId="6" fillId="2" borderId="17" xfId="0" applyNumberFormat="1" applyFont="1" applyFill="1" applyBorder="1" applyAlignment="1">
      <alignment horizontal="center"/>
    </xf>
    <xf numFmtId="0" fontId="6" fillId="2" borderId="17" xfId="0" applyFont="1" applyFill="1" applyBorder="1" applyAlignment="1">
      <alignment horizontal="center"/>
    </xf>
    <xf numFmtId="165" fontId="6" fillId="3" borderId="6" xfId="0" applyNumberFormat="1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165" fontId="6" fillId="3" borderId="17" xfId="0" applyNumberFormat="1" applyFont="1" applyFill="1" applyBorder="1" applyAlignment="1">
      <alignment horizontal="center"/>
    </xf>
    <xf numFmtId="0" fontId="6" fillId="3" borderId="17" xfId="0" applyFont="1" applyFill="1" applyBorder="1" applyAlignment="1">
      <alignment horizontal="center"/>
    </xf>
    <xf numFmtId="3" fontId="7" fillId="0" borderId="24" xfId="0" applyNumberFormat="1" applyFont="1" applyBorder="1" applyAlignment="1">
      <alignment horizontal="center"/>
    </xf>
    <xf numFmtId="3" fontId="7" fillId="0" borderId="25" xfId="0" applyNumberFormat="1" applyFont="1" applyBorder="1" applyAlignment="1">
      <alignment horizontal="center"/>
    </xf>
    <xf numFmtId="3" fontId="7" fillId="0" borderId="26" xfId="0" applyNumberFormat="1" applyFont="1" applyBorder="1" applyAlignment="1">
      <alignment horizontal="center"/>
    </xf>
    <xf numFmtId="10" fontId="7" fillId="0" borderId="25" xfId="0" applyNumberFormat="1" applyFont="1" applyBorder="1" applyAlignment="1">
      <alignment horizontal="center"/>
    </xf>
    <xf numFmtId="165" fontId="6" fillId="2" borderId="26" xfId="0" applyNumberFormat="1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3" fontId="7" fillId="0" borderId="22" xfId="0" applyNumberFormat="1" applyFont="1" applyBorder="1" applyAlignment="1">
      <alignment horizontal="center"/>
    </xf>
    <xf numFmtId="3" fontId="7" fillId="0" borderId="14" xfId="0" applyNumberFormat="1" applyFont="1" applyBorder="1" applyAlignment="1">
      <alignment horizontal="center"/>
    </xf>
    <xf numFmtId="165" fontId="6" fillId="2" borderId="6" xfId="0" applyNumberFormat="1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3" fontId="7" fillId="0" borderId="19" xfId="0" applyNumberFormat="1" applyFont="1" applyBorder="1" applyAlignment="1">
      <alignment horizontal="center"/>
    </xf>
    <xf numFmtId="3" fontId="7" fillId="0" borderId="28" xfId="0" applyNumberFormat="1" applyFont="1" applyBorder="1" applyAlignment="1">
      <alignment horizontal="center"/>
    </xf>
    <xf numFmtId="3" fontId="7" fillId="0" borderId="29" xfId="0" applyNumberFormat="1" applyFont="1" applyBorder="1" applyAlignment="1">
      <alignment horizontal="center"/>
    </xf>
    <xf numFmtId="3" fontId="7" fillId="0" borderId="30" xfId="0" applyNumberFormat="1" applyFont="1" applyBorder="1" applyAlignment="1">
      <alignment horizontal="center"/>
    </xf>
    <xf numFmtId="10" fontId="7" fillId="0" borderId="29" xfId="0" applyNumberFormat="1" applyFont="1" applyBorder="1" applyAlignment="1">
      <alignment horizontal="center"/>
    </xf>
    <xf numFmtId="165" fontId="6" fillId="0" borderId="30" xfId="0" applyNumberFormat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165" fontId="6" fillId="0" borderId="23" xfId="0" applyNumberFormat="1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2" fillId="0" borderId="17" xfId="0" applyFont="1" applyBorder="1" applyAlignment="1">
      <alignment horizontal="left" vertic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165" fontId="4" fillId="0" borderId="12" xfId="0" applyNumberFormat="1" applyFont="1" applyBorder="1" applyAlignment="1">
      <alignment horizontal="center"/>
    </xf>
    <xf numFmtId="10" fontId="4" fillId="0" borderId="12" xfId="0" applyNumberFormat="1" applyFon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24AB3EF-40C1-476A-B4D8-EA3B378249F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61028-FB73-4A64-B1D6-59E372A089F2}">
  <dimension ref="A1:M25"/>
  <sheetViews>
    <sheetView tabSelected="1" workbookViewId="0">
      <selection activeCell="I1" sqref="I1"/>
    </sheetView>
  </sheetViews>
  <sheetFormatPr defaultRowHeight="15" x14ac:dyDescent="0.25"/>
  <cols>
    <col min="1" max="1" width="12.42578125" customWidth="1"/>
    <col min="3" max="3" width="10.42578125" bestFit="1" customWidth="1"/>
    <col min="5" max="5" width="9.42578125" bestFit="1" customWidth="1"/>
    <col min="7" max="7" width="9.42578125" bestFit="1" customWidth="1"/>
  </cols>
  <sheetData>
    <row r="1" spans="1:13" ht="30.75" customHeight="1" thickBot="1" x14ac:dyDescent="0.3">
      <c r="A1" s="118" t="s">
        <v>53</v>
      </c>
      <c r="B1" s="118"/>
      <c r="C1" s="118"/>
      <c r="D1" s="118"/>
      <c r="E1" s="118"/>
      <c r="F1" s="118"/>
      <c r="G1" s="118"/>
      <c r="H1" s="118"/>
    </row>
    <row r="2" spans="1:13" x14ac:dyDescent="0.25">
      <c r="A2" s="1"/>
      <c r="B2" s="119" t="s">
        <v>0</v>
      </c>
      <c r="C2" s="119"/>
      <c r="D2" s="119" t="s">
        <v>15</v>
      </c>
      <c r="E2" s="119"/>
      <c r="F2" s="119" t="s">
        <v>16</v>
      </c>
      <c r="G2" s="119"/>
      <c r="H2" s="1"/>
    </row>
    <row r="3" spans="1:13" ht="15.75" thickBot="1" x14ac:dyDescent="0.3">
      <c r="A3" s="2" t="s">
        <v>1</v>
      </c>
      <c r="B3" s="4" t="s">
        <v>2</v>
      </c>
      <c r="C3" s="4" t="s">
        <v>3</v>
      </c>
      <c r="D3" s="4" t="s">
        <v>4</v>
      </c>
      <c r="E3" s="4" t="s">
        <v>3</v>
      </c>
      <c r="F3" s="4" t="s">
        <v>4</v>
      </c>
      <c r="G3" s="4" t="s">
        <v>3</v>
      </c>
      <c r="H3" s="6" t="s">
        <v>5</v>
      </c>
    </row>
    <row r="4" spans="1:13" ht="15.75" thickBot="1" x14ac:dyDescent="0.3">
      <c r="A4" s="2"/>
      <c r="B4" s="11">
        <v>279335</v>
      </c>
      <c r="C4" s="13">
        <v>1</v>
      </c>
      <c r="D4" s="11">
        <v>46580</v>
      </c>
      <c r="E4" s="13">
        <v>0.1668</v>
      </c>
      <c r="F4" s="11">
        <v>232755</v>
      </c>
      <c r="G4" s="13">
        <v>0.83320000000000005</v>
      </c>
      <c r="H4" s="2"/>
    </row>
    <row r="5" spans="1:13" x14ac:dyDescent="0.25">
      <c r="A5" s="5" t="s">
        <v>40</v>
      </c>
      <c r="B5" s="17"/>
      <c r="C5" s="17"/>
      <c r="D5" s="17"/>
      <c r="E5" s="17"/>
      <c r="F5" s="17"/>
      <c r="G5" s="17"/>
      <c r="H5" s="8"/>
    </row>
    <row r="6" spans="1:13" x14ac:dyDescent="0.25">
      <c r="A6" s="1" t="s">
        <v>8</v>
      </c>
      <c r="B6" s="18">
        <v>165709</v>
      </c>
      <c r="C6" s="19">
        <v>0.59319999999999995</v>
      </c>
      <c r="D6" s="18">
        <v>27196</v>
      </c>
      <c r="E6" s="19">
        <v>0.58389999999999997</v>
      </c>
      <c r="F6" s="18">
        <v>138513</v>
      </c>
      <c r="G6" s="19">
        <v>0.59509999999999996</v>
      </c>
      <c r="H6" s="7"/>
    </row>
    <row r="7" spans="1:13" x14ac:dyDescent="0.25">
      <c r="A7" s="1" t="s">
        <v>9</v>
      </c>
      <c r="B7" s="12">
        <v>113626</v>
      </c>
      <c r="C7" s="14">
        <v>0.40679999999999999</v>
      </c>
      <c r="D7" s="12">
        <v>19384</v>
      </c>
      <c r="E7" s="14">
        <v>0.41610000000000003</v>
      </c>
      <c r="F7" s="12">
        <v>94242</v>
      </c>
      <c r="G7" s="14">
        <v>0.40489999999999998</v>
      </c>
      <c r="H7" s="9" t="s">
        <v>10</v>
      </c>
    </row>
    <row r="8" spans="1:13" x14ac:dyDescent="0.25">
      <c r="A8" s="5" t="s">
        <v>6</v>
      </c>
      <c r="B8" s="17"/>
      <c r="C8" s="17"/>
      <c r="D8" s="17"/>
      <c r="E8" s="17"/>
      <c r="F8" s="17"/>
      <c r="G8" s="17"/>
      <c r="H8" s="17"/>
    </row>
    <row r="9" spans="1:13" x14ac:dyDescent="0.25">
      <c r="A9" s="1" t="s">
        <v>19</v>
      </c>
      <c r="B9" s="18">
        <v>150772</v>
      </c>
      <c r="C9" s="19">
        <v>0.53979999999999995</v>
      </c>
      <c r="D9" s="18">
        <v>22805</v>
      </c>
      <c r="E9" s="19">
        <v>0.48959999999999998</v>
      </c>
      <c r="F9" s="18">
        <v>127967</v>
      </c>
      <c r="G9" s="19">
        <v>0.54979999999999996</v>
      </c>
      <c r="H9" s="17"/>
      <c r="L9" s="3"/>
      <c r="M9" s="3"/>
    </row>
    <row r="10" spans="1:13" x14ac:dyDescent="0.25">
      <c r="A10" s="1" t="s">
        <v>20</v>
      </c>
      <c r="B10" s="18">
        <v>128563</v>
      </c>
      <c r="C10" s="19">
        <v>0.4602</v>
      </c>
      <c r="D10" s="18">
        <v>23775</v>
      </c>
      <c r="E10" s="19">
        <v>0.51039999999999996</v>
      </c>
      <c r="F10" s="18">
        <v>104788</v>
      </c>
      <c r="G10" s="19">
        <v>0.45019999999999999</v>
      </c>
      <c r="H10" s="17" t="s">
        <v>10</v>
      </c>
      <c r="L10" s="3"/>
      <c r="M10" s="3"/>
    </row>
    <row r="11" spans="1:13" x14ac:dyDescent="0.25">
      <c r="A11" s="5" t="s">
        <v>17</v>
      </c>
      <c r="B11" s="17"/>
      <c r="C11" s="17"/>
      <c r="D11" s="17"/>
      <c r="E11" s="17"/>
      <c r="F11" s="17"/>
      <c r="G11" s="17"/>
      <c r="H11" s="17"/>
    </row>
    <row r="12" spans="1:13" x14ac:dyDescent="0.25">
      <c r="A12" s="1" t="s">
        <v>21</v>
      </c>
      <c r="B12" s="18">
        <v>41451</v>
      </c>
      <c r="C12" s="19">
        <v>0.1484</v>
      </c>
      <c r="D12" s="18">
        <v>11225</v>
      </c>
      <c r="E12" s="19">
        <v>0.24099999999999999</v>
      </c>
      <c r="F12" s="18">
        <v>30226</v>
      </c>
      <c r="G12" s="19">
        <v>0.12989999999999999</v>
      </c>
      <c r="H12" s="17"/>
    </row>
    <row r="13" spans="1:13" x14ac:dyDescent="0.25">
      <c r="A13" s="1" t="s">
        <v>22</v>
      </c>
      <c r="B13" s="18">
        <v>74372</v>
      </c>
      <c r="C13" s="19">
        <v>0.26619999999999999</v>
      </c>
      <c r="D13" s="18">
        <v>16899</v>
      </c>
      <c r="E13" s="19">
        <v>0.36280000000000001</v>
      </c>
      <c r="F13" s="18">
        <v>57473</v>
      </c>
      <c r="G13" s="19">
        <v>0.24690000000000001</v>
      </c>
      <c r="H13" s="17"/>
    </row>
    <row r="14" spans="1:13" x14ac:dyDescent="0.25">
      <c r="A14" s="1" t="s">
        <v>23</v>
      </c>
      <c r="B14" s="12">
        <v>163512</v>
      </c>
      <c r="C14" s="14">
        <v>0.58540000000000003</v>
      </c>
      <c r="D14" s="12">
        <v>18456</v>
      </c>
      <c r="E14" s="14">
        <v>0.3962</v>
      </c>
      <c r="F14" s="12">
        <v>145056</v>
      </c>
      <c r="G14" s="14">
        <v>0.62319999999999998</v>
      </c>
      <c r="H14" s="17" t="s">
        <v>10</v>
      </c>
      <c r="I14" t="s">
        <v>14</v>
      </c>
    </row>
    <row r="15" spans="1:13" x14ac:dyDescent="0.25">
      <c r="A15" s="5" t="s">
        <v>18</v>
      </c>
      <c r="B15" s="17"/>
      <c r="C15" s="17"/>
      <c r="D15" s="17"/>
      <c r="E15" s="17"/>
      <c r="F15" s="17"/>
      <c r="G15" s="17"/>
      <c r="H15" s="17"/>
    </row>
    <row r="16" spans="1:13" x14ac:dyDescent="0.25">
      <c r="A16" s="1" t="s">
        <v>24</v>
      </c>
      <c r="B16" s="18">
        <v>205188</v>
      </c>
      <c r="C16" s="19">
        <v>0.73460000000000003</v>
      </c>
      <c r="D16" s="18">
        <v>35405</v>
      </c>
      <c r="E16" s="19">
        <v>0.7601</v>
      </c>
      <c r="F16" s="18">
        <v>169783</v>
      </c>
      <c r="G16" s="19">
        <v>0.72940000000000005</v>
      </c>
      <c r="H16" s="17"/>
      <c r="L16" s="3"/>
      <c r="M16" s="3"/>
    </row>
    <row r="17" spans="1:13" x14ac:dyDescent="0.25">
      <c r="A17" s="1" t="s">
        <v>25</v>
      </c>
      <c r="B17" s="18">
        <v>19603</v>
      </c>
      <c r="C17" s="19">
        <v>7.0199999999999999E-2</v>
      </c>
      <c r="D17" s="18">
        <v>3136</v>
      </c>
      <c r="E17" s="19">
        <v>6.7299999999999999E-2</v>
      </c>
      <c r="F17" s="18">
        <v>16467</v>
      </c>
      <c r="G17" s="19">
        <v>7.0699999999999999E-2</v>
      </c>
      <c r="H17" s="8" t="s">
        <v>14</v>
      </c>
      <c r="L17" s="3"/>
      <c r="M17" s="3"/>
    </row>
    <row r="18" spans="1:13" x14ac:dyDescent="0.25">
      <c r="A18" s="1" t="s">
        <v>26</v>
      </c>
      <c r="B18" s="18">
        <v>9297</v>
      </c>
      <c r="C18" s="19">
        <v>3.3300000000000003E-2</v>
      </c>
      <c r="D18" s="18">
        <v>521</v>
      </c>
      <c r="E18" s="19">
        <v>1.12E-2</v>
      </c>
      <c r="F18" s="18">
        <v>8776</v>
      </c>
      <c r="G18" s="19">
        <v>3.7699999999999997E-2</v>
      </c>
      <c r="H18" s="8"/>
    </row>
    <row r="19" spans="1:13" x14ac:dyDescent="0.25">
      <c r="A19" s="1" t="s">
        <v>27</v>
      </c>
      <c r="B19" s="18">
        <v>3599</v>
      </c>
      <c r="C19" s="19">
        <v>1.29E-2</v>
      </c>
      <c r="D19" s="18">
        <v>854</v>
      </c>
      <c r="E19" s="19">
        <v>1.83E-2</v>
      </c>
      <c r="F19" s="18">
        <v>2745</v>
      </c>
      <c r="G19" s="19">
        <v>1.18E-2</v>
      </c>
      <c r="H19" s="7"/>
    </row>
    <row r="20" spans="1:13" x14ac:dyDescent="0.25">
      <c r="A20" s="1" t="s">
        <v>28</v>
      </c>
      <c r="B20" s="18">
        <v>31166</v>
      </c>
      <c r="C20" s="19">
        <v>0.1116</v>
      </c>
      <c r="D20" s="18">
        <v>4556</v>
      </c>
      <c r="E20" s="19">
        <v>9.7799999999999998E-2</v>
      </c>
      <c r="F20" s="18">
        <v>26610</v>
      </c>
      <c r="G20" s="19">
        <v>0.1143</v>
      </c>
      <c r="H20" s="7"/>
    </row>
    <row r="21" spans="1:13" ht="15.75" thickBot="1" x14ac:dyDescent="0.3">
      <c r="A21" s="2" t="s">
        <v>29</v>
      </c>
      <c r="B21" s="11">
        <v>10482</v>
      </c>
      <c r="C21" s="13">
        <v>3.7499999999999999E-2</v>
      </c>
      <c r="D21" s="11">
        <v>2108</v>
      </c>
      <c r="E21" s="13">
        <v>4.53E-2</v>
      </c>
      <c r="F21" s="11">
        <v>8374</v>
      </c>
      <c r="G21" s="13">
        <v>3.5999999999999997E-2</v>
      </c>
      <c r="H21" s="17" t="s">
        <v>10</v>
      </c>
    </row>
    <row r="22" spans="1:13" x14ac:dyDescent="0.25">
      <c r="A22" s="120" t="s">
        <v>7</v>
      </c>
      <c r="B22" s="120"/>
      <c r="C22" s="120"/>
      <c r="D22" s="120"/>
      <c r="E22" s="120"/>
      <c r="F22" s="120"/>
      <c r="G22" s="120"/>
      <c r="H22" s="120"/>
    </row>
    <row r="23" spans="1:13" x14ac:dyDescent="0.25">
      <c r="A23" s="117" t="s">
        <v>11</v>
      </c>
      <c r="B23" s="117"/>
      <c r="C23" s="117"/>
      <c r="D23" s="117"/>
      <c r="E23" s="117"/>
      <c r="F23" s="117"/>
      <c r="G23" s="117"/>
      <c r="H23" s="117"/>
    </row>
    <row r="25" spans="1:13" x14ac:dyDescent="0.25">
      <c r="F25" t="s">
        <v>14</v>
      </c>
    </row>
  </sheetData>
  <mergeCells count="6">
    <mergeCell ref="A23:H23"/>
    <mergeCell ref="A1:H1"/>
    <mergeCell ref="B2:C2"/>
    <mergeCell ref="D2:E2"/>
    <mergeCell ref="F2:G2"/>
    <mergeCell ref="A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08AC-ED58-467A-8606-473C3F143CF1}">
  <dimension ref="A1:M30"/>
  <sheetViews>
    <sheetView workbookViewId="0">
      <selection activeCell="I1" sqref="I1"/>
    </sheetView>
  </sheetViews>
  <sheetFormatPr defaultRowHeight="15" x14ac:dyDescent="0.25"/>
  <cols>
    <col min="1" max="1" width="14" customWidth="1"/>
    <col min="3" max="3" width="10.42578125" bestFit="1" customWidth="1"/>
    <col min="7" max="7" width="10.42578125" customWidth="1"/>
    <col min="8" max="8" width="10.85546875" customWidth="1"/>
  </cols>
  <sheetData>
    <row r="1" spans="1:8" ht="30.75" customHeight="1" thickBot="1" x14ac:dyDescent="0.3">
      <c r="A1" s="118" t="s">
        <v>51</v>
      </c>
      <c r="B1" s="118"/>
      <c r="C1" s="118"/>
      <c r="D1" s="118"/>
      <c r="E1" s="118"/>
      <c r="F1" s="118"/>
      <c r="G1" s="118"/>
      <c r="H1" s="118"/>
    </row>
    <row r="2" spans="1:8" x14ac:dyDescent="0.25">
      <c r="A2" s="7"/>
      <c r="B2" s="119" t="s">
        <v>0</v>
      </c>
      <c r="C2" s="119"/>
      <c r="D2" s="119" t="s">
        <v>15</v>
      </c>
      <c r="E2" s="119"/>
      <c r="F2" s="119" t="s">
        <v>16</v>
      </c>
      <c r="G2" s="119"/>
      <c r="H2" s="7"/>
    </row>
    <row r="3" spans="1:8" ht="15.75" thickBot="1" x14ac:dyDescent="0.3">
      <c r="A3" s="2" t="s">
        <v>1</v>
      </c>
      <c r="B3" s="4" t="s">
        <v>2</v>
      </c>
      <c r="C3" s="4" t="s">
        <v>3</v>
      </c>
      <c r="D3" s="4" t="s">
        <v>4</v>
      </c>
      <c r="E3" s="4" t="s">
        <v>3</v>
      </c>
      <c r="F3" s="4" t="s">
        <v>4</v>
      </c>
      <c r="G3" s="4" t="s">
        <v>3</v>
      </c>
      <c r="H3" s="4" t="s">
        <v>5</v>
      </c>
    </row>
    <row r="4" spans="1:8" ht="15.75" thickBot="1" x14ac:dyDescent="0.3">
      <c r="A4" s="2"/>
      <c r="B4" s="11">
        <v>279335</v>
      </c>
      <c r="C4" s="13">
        <v>1</v>
      </c>
      <c r="D4" s="11">
        <v>253788</v>
      </c>
      <c r="E4" s="13">
        <v>0.90849999999999997</v>
      </c>
      <c r="F4" s="11">
        <v>25547</v>
      </c>
      <c r="G4" s="13">
        <v>9.1499999999999998E-2</v>
      </c>
      <c r="H4" s="2"/>
    </row>
    <row r="5" spans="1:8" x14ac:dyDescent="0.25">
      <c r="A5" s="5" t="s">
        <v>30</v>
      </c>
      <c r="B5" s="17"/>
      <c r="C5" s="17"/>
      <c r="D5" s="17"/>
      <c r="E5" s="17"/>
      <c r="F5" s="17"/>
      <c r="G5" s="17"/>
      <c r="H5" s="17"/>
    </row>
    <row r="6" spans="1:8" x14ac:dyDescent="0.25">
      <c r="A6" s="1" t="s">
        <v>31</v>
      </c>
      <c r="B6" s="18">
        <v>46580</v>
      </c>
      <c r="C6" s="25">
        <v>0.1668</v>
      </c>
      <c r="D6" s="18">
        <v>43407</v>
      </c>
      <c r="E6" s="19">
        <v>0.17100000000000001</v>
      </c>
      <c r="F6" s="18">
        <v>3173</v>
      </c>
      <c r="G6" s="25">
        <v>0.1242</v>
      </c>
      <c r="H6" s="17"/>
    </row>
    <row r="7" spans="1:8" x14ac:dyDescent="0.25">
      <c r="A7" s="1" t="s">
        <v>32</v>
      </c>
      <c r="B7" s="18">
        <v>232755</v>
      </c>
      <c r="C7" s="25">
        <v>0.83320000000000005</v>
      </c>
      <c r="D7" s="18">
        <v>210381</v>
      </c>
      <c r="E7" s="19">
        <v>0.82899999999999996</v>
      </c>
      <c r="F7" s="18">
        <v>22374</v>
      </c>
      <c r="G7" s="25">
        <v>0.87580000000000002</v>
      </c>
      <c r="H7" s="26" t="s">
        <v>10</v>
      </c>
    </row>
    <row r="8" spans="1:8" x14ac:dyDescent="0.25">
      <c r="A8" s="5" t="s">
        <v>40</v>
      </c>
      <c r="B8" s="17"/>
      <c r="C8" s="17"/>
      <c r="D8" s="17"/>
      <c r="E8" s="17"/>
      <c r="F8" s="17"/>
      <c r="G8" s="17"/>
      <c r="H8" s="17"/>
    </row>
    <row r="9" spans="1:8" x14ac:dyDescent="0.25">
      <c r="A9" s="1" t="s">
        <v>12</v>
      </c>
      <c r="B9" s="12">
        <v>165709</v>
      </c>
      <c r="C9" s="14">
        <v>0.59319999999999995</v>
      </c>
      <c r="D9" s="12">
        <v>149123</v>
      </c>
      <c r="E9" s="14">
        <v>0.58760000000000001</v>
      </c>
      <c r="F9" s="12">
        <v>16586</v>
      </c>
      <c r="G9" s="14">
        <v>0.6492</v>
      </c>
      <c r="H9" s="9"/>
    </row>
    <row r="10" spans="1:8" x14ac:dyDescent="0.25">
      <c r="A10" s="1" t="s">
        <v>13</v>
      </c>
      <c r="B10" s="18">
        <v>113626</v>
      </c>
      <c r="C10" s="19">
        <v>0.40679999999999999</v>
      </c>
      <c r="D10" s="18">
        <v>104665</v>
      </c>
      <c r="E10" s="19">
        <v>0.41239999999999999</v>
      </c>
      <c r="F10" s="18">
        <v>8961</v>
      </c>
      <c r="G10" s="19">
        <v>0.3508</v>
      </c>
      <c r="H10" s="26" t="s">
        <v>10</v>
      </c>
    </row>
    <row r="11" spans="1:8" x14ac:dyDescent="0.25">
      <c r="A11" s="5" t="s">
        <v>6</v>
      </c>
      <c r="B11" s="17"/>
      <c r="C11" s="17"/>
      <c r="D11" s="17"/>
      <c r="E11" s="17"/>
      <c r="F11" s="17"/>
      <c r="G11" s="17"/>
      <c r="H11" s="17"/>
    </row>
    <row r="12" spans="1:8" x14ac:dyDescent="0.25">
      <c r="A12" s="1" t="s">
        <v>19</v>
      </c>
      <c r="B12" s="18">
        <v>150772</v>
      </c>
      <c r="C12" s="19">
        <v>0.53979999999999995</v>
      </c>
      <c r="D12" s="18">
        <v>139915</v>
      </c>
      <c r="E12" s="19">
        <v>0.55130000000000001</v>
      </c>
      <c r="F12" s="18">
        <v>10857</v>
      </c>
      <c r="G12" s="19">
        <v>0.42499999999999999</v>
      </c>
      <c r="H12" s="17"/>
    </row>
    <row r="13" spans="1:8" x14ac:dyDescent="0.25">
      <c r="A13" s="1" t="s">
        <v>20</v>
      </c>
      <c r="B13" s="18">
        <v>128563</v>
      </c>
      <c r="C13" s="19">
        <v>0.4602</v>
      </c>
      <c r="D13" s="18">
        <v>113873</v>
      </c>
      <c r="E13" s="19">
        <v>0.44869999999999999</v>
      </c>
      <c r="F13" s="18">
        <v>14690</v>
      </c>
      <c r="G13" s="19">
        <v>0.57499999999999996</v>
      </c>
      <c r="H13" s="26" t="s">
        <v>10</v>
      </c>
    </row>
    <row r="14" spans="1:8" x14ac:dyDescent="0.25">
      <c r="A14" s="5" t="s">
        <v>17</v>
      </c>
      <c r="B14" s="7"/>
      <c r="C14" s="17"/>
      <c r="D14" s="17"/>
      <c r="E14" s="17"/>
      <c r="F14" s="17"/>
      <c r="G14" s="17"/>
      <c r="H14" s="7"/>
    </row>
    <row r="15" spans="1:8" x14ac:dyDescent="0.25">
      <c r="A15" s="1" t="s">
        <v>33</v>
      </c>
      <c r="B15" s="18">
        <v>41451</v>
      </c>
      <c r="C15" s="19">
        <v>0.1484</v>
      </c>
      <c r="D15" s="18">
        <v>41070</v>
      </c>
      <c r="E15" s="19">
        <v>0.1618</v>
      </c>
      <c r="F15" s="18">
        <v>381</v>
      </c>
      <c r="G15" s="19">
        <v>1.49E-2</v>
      </c>
      <c r="H15" s="26"/>
    </row>
    <row r="16" spans="1:8" x14ac:dyDescent="0.25">
      <c r="A16" s="1" t="s">
        <v>34</v>
      </c>
      <c r="B16" s="18">
        <v>74372</v>
      </c>
      <c r="C16" s="19">
        <v>0.26619999999999999</v>
      </c>
      <c r="D16" s="18">
        <v>71891</v>
      </c>
      <c r="E16" s="19">
        <v>0.2833</v>
      </c>
      <c r="F16" s="18">
        <v>2481</v>
      </c>
      <c r="G16" s="19">
        <v>9.7100000000000006E-2</v>
      </c>
      <c r="H16" s="17"/>
    </row>
    <row r="17" spans="1:13" x14ac:dyDescent="0.25">
      <c r="A17" s="1" t="s">
        <v>35</v>
      </c>
      <c r="B17" s="18">
        <v>163512</v>
      </c>
      <c r="C17" s="19">
        <v>0.58540000000000003</v>
      </c>
      <c r="D17" s="18">
        <v>140827</v>
      </c>
      <c r="E17" s="19">
        <v>0.55489999999999995</v>
      </c>
      <c r="F17" s="18">
        <v>22685</v>
      </c>
      <c r="G17" s="19">
        <v>0.88800000000000001</v>
      </c>
      <c r="H17" s="26" t="s">
        <v>10</v>
      </c>
    </row>
    <row r="18" spans="1:13" x14ac:dyDescent="0.25">
      <c r="A18" s="5" t="s">
        <v>18</v>
      </c>
      <c r="B18" s="17"/>
      <c r="C18" s="17"/>
      <c r="D18" s="17"/>
      <c r="E18" s="17"/>
      <c r="F18" s="17"/>
      <c r="G18" s="17"/>
      <c r="H18" s="17"/>
    </row>
    <row r="19" spans="1:13" x14ac:dyDescent="0.25">
      <c r="A19" s="1" t="s">
        <v>24</v>
      </c>
      <c r="B19" s="18">
        <v>205188</v>
      </c>
      <c r="C19" s="19">
        <v>0.73460000000000003</v>
      </c>
      <c r="D19" s="18">
        <v>184973</v>
      </c>
      <c r="E19" s="19">
        <v>0.7288</v>
      </c>
      <c r="F19" s="18">
        <v>20215</v>
      </c>
      <c r="G19" s="19">
        <v>0.7913</v>
      </c>
      <c r="H19" s="17"/>
      <c r="L19" s="3"/>
      <c r="M19" s="3"/>
    </row>
    <row r="20" spans="1:13" x14ac:dyDescent="0.25">
      <c r="A20" s="1" t="s">
        <v>25</v>
      </c>
      <c r="B20" s="18">
        <v>19603</v>
      </c>
      <c r="C20" s="19">
        <v>7.0199999999999999E-2</v>
      </c>
      <c r="D20" s="18">
        <v>18046</v>
      </c>
      <c r="E20" s="19">
        <v>7.1099999999999997E-2</v>
      </c>
      <c r="F20" s="18">
        <v>1557</v>
      </c>
      <c r="G20" s="19">
        <v>6.0900000000000003E-2</v>
      </c>
      <c r="H20" s="8" t="s">
        <v>14</v>
      </c>
      <c r="L20" s="3"/>
      <c r="M20" s="3"/>
    </row>
    <row r="21" spans="1:13" x14ac:dyDescent="0.25">
      <c r="A21" s="1" t="s">
        <v>26</v>
      </c>
      <c r="B21" s="18">
        <v>9297</v>
      </c>
      <c r="C21" s="19">
        <v>3.3300000000000003E-2</v>
      </c>
      <c r="D21" s="18">
        <v>8864</v>
      </c>
      <c r="E21" s="19">
        <v>3.49E-2</v>
      </c>
      <c r="F21" s="18">
        <v>433</v>
      </c>
      <c r="G21" s="19">
        <v>1.6899999999999998E-2</v>
      </c>
      <c r="H21" s="8"/>
    </row>
    <row r="22" spans="1:13" x14ac:dyDescent="0.25">
      <c r="A22" s="1" t="s">
        <v>27</v>
      </c>
      <c r="B22" s="18">
        <v>3599</v>
      </c>
      <c r="C22" s="19">
        <v>1.29E-2</v>
      </c>
      <c r="D22" s="18">
        <v>3166</v>
      </c>
      <c r="E22" s="19">
        <v>1.2500000000000001E-2</v>
      </c>
      <c r="F22" s="18">
        <v>433</v>
      </c>
      <c r="G22" s="19">
        <v>1.6899999999999998E-2</v>
      </c>
      <c r="H22" s="7"/>
    </row>
    <row r="23" spans="1:13" x14ac:dyDescent="0.25">
      <c r="A23" s="1" t="s">
        <v>28</v>
      </c>
      <c r="B23" s="18">
        <v>31166</v>
      </c>
      <c r="C23" s="19">
        <v>0.1116</v>
      </c>
      <c r="D23" s="18">
        <v>29228</v>
      </c>
      <c r="E23" s="19">
        <v>0.1152</v>
      </c>
      <c r="F23" s="18">
        <v>1938</v>
      </c>
      <c r="G23" s="19">
        <v>7.5899999999999995E-2</v>
      </c>
      <c r="H23" s="7"/>
    </row>
    <row r="24" spans="1:13" ht="15.75" thickBot="1" x14ac:dyDescent="0.3">
      <c r="A24" s="2" t="s">
        <v>29</v>
      </c>
      <c r="B24" s="11">
        <v>10482</v>
      </c>
      <c r="C24" s="13">
        <v>3.7499999999999999E-2</v>
      </c>
      <c r="D24" s="11">
        <v>9511</v>
      </c>
      <c r="E24" s="13">
        <v>3.7499999999999999E-2</v>
      </c>
      <c r="F24" s="11">
        <v>971</v>
      </c>
      <c r="G24" s="13">
        <v>3.7999999999999999E-2</v>
      </c>
      <c r="H24" s="17" t="s">
        <v>10</v>
      </c>
    </row>
    <row r="25" spans="1:13" x14ac:dyDescent="0.25">
      <c r="A25" s="120" t="s">
        <v>7</v>
      </c>
      <c r="B25" s="120"/>
      <c r="C25" s="120"/>
      <c r="D25" s="120"/>
      <c r="E25" s="120"/>
      <c r="F25" s="120"/>
      <c r="G25" s="120"/>
      <c r="H25" s="120"/>
    </row>
    <row r="26" spans="1:13" x14ac:dyDescent="0.25">
      <c r="A26" s="117" t="s">
        <v>11</v>
      </c>
      <c r="B26" s="117"/>
      <c r="C26" s="117"/>
      <c r="D26" s="117"/>
      <c r="E26" s="117"/>
      <c r="F26" s="117"/>
      <c r="G26" s="117"/>
      <c r="H26" s="117"/>
    </row>
    <row r="30" spans="1:13" x14ac:dyDescent="0.25">
      <c r="H30" t="s">
        <v>14</v>
      </c>
    </row>
  </sheetData>
  <mergeCells count="6">
    <mergeCell ref="A26:H26"/>
    <mergeCell ref="A1:H1"/>
    <mergeCell ref="B2:C2"/>
    <mergeCell ref="D2:E2"/>
    <mergeCell ref="F2:G2"/>
    <mergeCell ref="A25:H2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0621D-A3AA-45AD-AB9B-DEC090916952}">
  <dimension ref="A1:M26"/>
  <sheetViews>
    <sheetView workbookViewId="0">
      <selection activeCell="H1" sqref="H1"/>
    </sheetView>
  </sheetViews>
  <sheetFormatPr defaultRowHeight="15" x14ac:dyDescent="0.25"/>
  <cols>
    <col min="1" max="1" width="12.140625" customWidth="1"/>
    <col min="7" max="7" width="15.42578125" customWidth="1"/>
  </cols>
  <sheetData>
    <row r="1" spans="1:9" ht="33" customHeight="1" thickBot="1" x14ac:dyDescent="0.3">
      <c r="A1" s="118" t="s">
        <v>52</v>
      </c>
      <c r="B1" s="118"/>
      <c r="C1" s="118"/>
      <c r="D1" s="118"/>
      <c r="E1" s="118"/>
      <c r="F1" s="118"/>
      <c r="G1" s="118"/>
    </row>
    <row r="2" spans="1:9" x14ac:dyDescent="0.25">
      <c r="A2" s="7"/>
      <c r="B2" s="119" t="s">
        <v>15</v>
      </c>
      <c r="C2" s="119"/>
      <c r="D2" s="119" t="s">
        <v>16</v>
      </c>
      <c r="E2" s="119"/>
      <c r="F2" s="9" t="s">
        <v>36</v>
      </c>
      <c r="G2" s="9" t="s">
        <v>37</v>
      </c>
    </row>
    <row r="3" spans="1:9" ht="15.75" thickBot="1" x14ac:dyDescent="0.3">
      <c r="A3" s="2" t="s">
        <v>1</v>
      </c>
      <c r="B3" s="4" t="s">
        <v>4</v>
      </c>
      <c r="C3" s="4" t="s">
        <v>3</v>
      </c>
      <c r="D3" s="4" t="s">
        <v>4</v>
      </c>
      <c r="E3" s="4" t="s">
        <v>3</v>
      </c>
      <c r="F3" s="2"/>
      <c r="G3" s="2"/>
    </row>
    <row r="4" spans="1:9" ht="15.75" thickBot="1" x14ac:dyDescent="0.3">
      <c r="A4" s="2"/>
      <c r="B4" s="11">
        <v>253788</v>
      </c>
      <c r="C4" s="13">
        <v>0.90849999999999997</v>
      </c>
      <c r="D4" s="11">
        <v>25547</v>
      </c>
      <c r="E4" s="13">
        <v>9.1499999999999998E-2</v>
      </c>
      <c r="F4" s="4" t="s">
        <v>38</v>
      </c>
      <c r="G4" s="4" t="s">
        <v>38</v>
      </c>
    </row>
    <row r="5" spans="1:9" x14ac:dyDescent="0.25">
      <c r="A5" s="5" t="s">
        <v>30</v>
      </c>
      <c r="B5" s="17"/>
      <c r="C5" s="17"/>
      <c r="D5" s="17"/>
      <c r="E5" s="17"/>
      <c r="F5" s="17"/>
      <c r="G5" s="17"/>
      <c r="H5" s="10"/>
    </row>
    <row r="6" spans="1:9" x14ac:dyDescent="0.25">
      <c r="A6" s="1" t="s">
        <v>31</v>
      </c>
      <c r="B6" s="18">
        <v>43407</v>
      </c>
      <c r="C6" s="19">
        <v>0.17100000000000001</v>
      </c>
      <c r="D6" s="18">
        <v>3173</v>
      </c>
      <c r="E6" s="19">
        <v>0.1242</v>
      </c>
      <c r="F6" s="18" t="s">
        <v>38</v>
      </c>
      <c r="G6" s="19" t="s">
        <v>38</v>
      </c>
      <c r="H6" s="10"/>
      <c r="I6" t="s">
        <v>14</v>
      </c>
    </row>
    <row r="7" spans="1:9" x14ac:dyDescent="0.25">
      <c r="A7" s="1" t="s">
        <v>32</v>
      </c>
      <c r="B7" s="18">
        <v>210381</v>
      </c>
      <c r="C7" s="19">
        <v>0.82899999999999996</v>
      </c>
      <c r="D7" s="18">
        <v>22374</v>
      </c>
      <c r="E7" s="19">
        <v>0.87580000000000002</v>
      </c>
      <c r="F7" s="24">
        <v>1.0629999999999999</v>
      </c>
      <c r="G7" s="19" t="s">
        <v>41</v>
      </c>
      <c r="H7" s="15"/>
    </row>
    <row r="8" spans="1:9" x14ac:dyDescent="0.25">
      <c r="A8" s="5" t="s">
        <v>40</v>
      </c>
      <c r="B8" s="17"/>
      <c r="C8" s="17"/>
      <c r="D8" s="17"/>
      <c r="E8" s="17"/>
      <c r="F8" s="17"/>
      <c r="G8" s="17"/>
      <c r="H8" s="10"/>
    </row>
    <row r="9" spans="1:9" x14ac:dyDescent="0.25">
      <c r="A9" s="1" t="s">
        <v>12</v>
      </c>
      <c r="B9" s="12">
        <v>149123</v>
      </c>
      <c r="C9" s="14">
        <v>0.58760000000000001</v>
      </c>
      <c r="D9" s="12">
        <v>16586</v>
      </c>
      <c r="E9" s="14">
        <v>0.6492</v>
      </c>
      <c r="F9" s="12" t="s">
        <v>38</v>
      </c>
      <c r="G9" s="14" t="s">
        <v>38</v>
      </c>
      <c r="H9" s="9"/>
    </row>
    <row r="10" spans="1:9" x14ac:dyDescent="0.25">
      <c r="A10" s="1" t="s">
        <v>13</v>
      </c>
      <c r="B10" s="18">
        <v>104665</v>
      </c>
      <c r="C10" s="19">
        <v>0.41239999999999999</v>
      </c>
      <c r="D10" s="18">
        <v>8961</v>
      </c>
      <c r="E10" s="19">
        <v>0.3508</v>
      </c>
      <c r="F10" s="20">
        <v>0.95</v>
      </c>
      <c r="G10" s="19" t="s">
        <v>42</v>
      </c>
      <c r="H10" s="15"/>
    </row>
    <row r="11" spans="1:9" x14ac:dyDescent="0.25">
      <c r="A11" s="5" t="s">
        <v>6</v>
      </c>
      <c r="B11" s="17"/>
      <c r="C11" s="17"/>
      <c r="D11" s="17"/>
      <c r="E11" s="17"/>
      <c r="F11" s="17"/>
      <c r="G11" s="17"/>
      <c r="H11" s="10"/>
    </row>
    <row r="12" spans="1:9" x14ac:dyDescent="0.25">
      <c r="A12" s="1" t="s">
        <v>19</v>
      </c>
      <c r="B12" s="18">
        <v>139915</v>
      </c>
      <c r="C12" s="19">
        <v>0.55130000000000001</v>
      </c>
      <c r="D12" s="18">
        <v>10857</v>
      </c>
      <c r="E12" s="19">
        <v>0.42499999999999999</v>
      </c>
      <c r="F12" s="18" t="s">
        <v>38</v>
      </c>
      <c r="G12" s="19" t="s">
        <v>38</v>
      </c>
      <c r="H12" s="10"/>
    </row>
    <row r="13" spans="1:9" x14ac:dyDescent="0.25">
      <c r="A13" s="1" t="s">
        <v>20</v>
      </c>
      <c r="B13" s="18">
        <v>113873</v>
      </c>
      <c r="C13" s="19">
        <v>0.44869999999999999</v>
      </c>
      <c r="D13" s="18">
        <v>14690</v>
      </c>
      <c r="E13" s="19">
        <v>0.57499999999999996</v>
      </c>
      <c r="F13" s="20">
        <v>1.83</v>
      </c>
      <c r="G13" s="19" t="s">
        <v>43</v>
      </c>
      <c r="H13" s="15"/>
    </row>
    <row r="14" spans="1:9" x14ac:dyDescent="0.25">
      <c r="A14" s="5" t="s">
        <v>17</v>
      </c>
      <c r="B14" s="17"/>
      <c r="C14" s="17"/>
      <c r="D14" s="17"/>
      <c r="E14" s="17"/>
      <c r="F14" s="17"/>
      <c r="G14" s="17"/>
      <c r="H14" s="3"/>
    </row>
    <row r="15" spans="1:9" x14ac:dyDescent="0.25">
      <c r="A15" s="1" t="s">
        <v>33</v>
      </c>
      <c r="B15" s="18">
        <v>41070</v>
      </c>
      <c r="C15" s="19">
        <v>0.1618</v>
      </c>
      <c r="D15" s="18">
        <v>381</v>
      </c>
      <c r="E15" s="19">
        <v>1.49E-2</v>
      </c>
      <c r="F15" s="18" t="s">
        <v>38</v>
      </c>
      <c r="G15" s="19" t="s">
        <v>38</v>
      </c>
      <c r="H15" s="15"/>
    </row>
    <row r="16" spans="1:9" x14ac:dyDescent="0.25">
      <c r="A16" s="1" t="s">
        <v>34</v>
      </c>
      <c r="B16" s="18">
        <v>71891</v>
      </c>
      <c r="C16" s="19">
        <v>0.2833</v>
      </c>
      <c r="D16" s="18">
        <v>2481</v>
      </c>
      <c r="E16" s="19">
        <v>9.7100000000000006E-2</v>
      </c>
      <c r="F16" s="20">
        <v>3.8359999999999999</v>
      </c>
      <c r="G16" s="19" t="s">
        <v>44</v>
      </c>
      <c r="H16" s="10"/>
    </row>
    <row r="17" spans="1:13" x14ac:dyDescent="0.25">
      <c r="A17" s="1" t="s">
        <v>35</v>
      </c>
      <c r="B17" s="18">
        <v>140827</v>
      </c>
      <c r="C17" s="19">
        <v>0.55489999999999995</v>
      </c>
      <c r="D17" s="18">
        <v>22685</v>
      </c>
      <c r="E17" s="19">
        <v>0.88800000000000001</v>
      </c>
      <c r="F17" s="20">
        <v>18.155999999999999</v>
      </c>
      <c r="G17" s="19" t="s">
        <v>45</v>
      </c>
      <c r="H17" s="15"/>
    </row>
    <row r="18" spans="1:13" x14ac:dyDescent="0.25">
      <c r="A18" s="5" t="s">
        <v>18</v>
      </c>
      <c r="B18" s="17"/>
      <c r="C18" s="17"/>
      <c r="D18" s="17"/>
      <c r="E18" s="17"/>
      <c r="F18" s="17"/>
      <c r="G18" s="17"/>
      <c r="H18" s="17"/>
    </row>
    <row r="19" spans="1:13" x14ac:dyDescent="0.25">
      <c r="A19" s="1" t="s">
        <v>24</v>
      </c>
      <c r="B19" s="18">
        <v>184973</v>
      </c>
      <c r="C19" s="19">
        <v>0.7288</v>
      </c>
      <c r="D19" s="18">
        <v>20215</v>
      </c>
      <c r="E19" s="19">
        <v>0.7913</v>
      </c>
      <c r="F19" s="18" t="s">
        <v>38</v>
      </c>
      <c r="G19" s="19" t="s">
        <v>38</v>
      </c>
      <c r="H19" s="17"/>
      <c r="L19" s="3"/>
      <c r="M19" s="3"/>
    </row>
    <row r="20" spans="1:13" x14ac:dyDescent="0.25">
      <c r="A20" s="1" t="s">
        <v>25</v>
      </c>
      <c r="B20" s="18">
        <v>18046</v>
      </c>
      <c r="C20" s="19">
        <v>7.1099999999999997E-2</v>
      </c>
      <c r="D20" s="18">
        <v>1557</v>
      </c>
      <c r="E20" s="19">
        <v>6.0900000000000003E-2</v>
      </c>
      <c r="F20" s="20">
        <v>0.95599999999999996</v>
      </c>
      <c r="G20" s="19" t="s">
        <v>46</v>
      </c>
      <c r="H20" s="8" t="s">
        <v>14</v>
      </c>
      <c r="L20" s="3"/>
      <c r="M20" s="3"/>
    </row>
    <row r="21" spans="1:13" x14ac:dyDescent="0.25">
      <c r="A21" s="1" t="s">
        <v>26</v>
      </c>
      <c r="B21" s="18">
        <v>8864</v>
      </c>
      <c r="C21" s="19">
        <v>3.49E-2</v>
      </c>
      <c r="D21" s="18">
        <v>433</v>
      </c>
      <c r="E21" s="19">
        <v>1.6899999999999998E-2</v>
      </c>
      <c r="F21" s="20">
        <v>0.60499999999999998</v>
      </c>
      <c r="G21" s="19" t="s">
        <v>47</v>
      </c>
      <c r="H21" s="8"/>
      <c r="I21" t="s">
        <v>14</v>
      </c>
    </row>
    <row r="22" spans="1:13" x14ac:dyDescent="0.25">
      <c r="A22" s="1" t="s">
        <v>27</v>
      </c>
      <c r="B22" s="18">
        <v>3166</v>
      </c>
      <c r="C22" s="19">
        <v>1.2500000000000001E-2</v>
      </c>
      <c r="D22" s="18">
        <v>433</v>
      </c>
      <c r="E22" s="19">
        <v>1.6899999999999998E-2</v>
      </c>
      <c r="F22" s="20">
        <v>1.607</v>
      </c>
      <c r="G22" s="19" t="s">
        <v>48</v>
      </c>
      <c r="H22" s="7"/>
    </row>
    <row r="23" spans="1:13" x14ac:dyDescent="0.25">
      <c r="A23" s="1" t="s">
        <v>28</v>
      </c>
      <c r="B23" s="18">
        <v>29228</v>
      </c>
      <c r="C23" s="19">
        <v>0.1152</v>
      </c>
      <c r="D23" s="18">
        <v>1938</v>
      </c>
      <c r="E23" s="19">
        <v>7.5899999999999995E-2</v>
      </c>
      <c r="F23" s="20">
        <v>0.999</v>
      </c>
      <c r="G23" s="19" t="s">
        <v>49</v>
      </c>
      <c r="H23" s="7"/>
    </row>
    <row r="24" spans="1:13" ht="15.75" thickBot="1" x14ac:dyDescent="0.3">
      <c r="A24" s="2" t="s">
        <v>29</v>
      </c>
      <c r="B24" s="11">
        <v>9511</v>
      </c>
      <c r="C24" s="13">
        <v>3.7499999999999999E-2</v>
      </c>
      <c r="D24" s="11">
        <v>971</v>
      </c>
      <c r="E24" s="13">
        <v>3.7999999999999999E-2</v>
      </c>
      <c r="F24" s="21">
        <v>1.3129999999999999</v>
      </c>
      <c r="G24" s="19" t="s">
        <v>50</v>
      </c>
      <c r="H24" s="16" t="s">
        <v>14</v>
      </c>
    </row>
    <row r="25" spans="1:13" x14ac:dyDescent="0.25">
      <c r="A25" s="120" t="s">
        <v>39</v>
      </c>
      <c r="B25" s="120"/>
      <c r="C25" s="120"/>
      <c r="D25" s="120"/>
      <c r="E25" s="120"/>
      <c r="F25" s="120"/>
      <c r="G25" s="120"/>
    </row>
    <row r="26" spans="1:13" x14ac:dyDescent="0.25">
      <c r="A26" s="117" t="s">
        <v>11</v>
      </c>
      <c r="B26" s="117"/>
      <c r="C26" s="117"/>
      <c r="D26" s="117"/>
      <c r="E26" s="117"/>
      <c r="F26" s="117"/>
      <c r="G26" s="117"/>
    </row>
  </sheetData>
  <mergeCells count="5">
    <mergeCell ref="A1:G1"/>
    <mergeCell ref="B2:C2"/>
    <mergeCell ref="D2:E2"/>
    <mergeCell ref="A25:G25"/>
    <mergeCell ref="A26:G2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2C78B-BA97-485F-8282-263DDE13FF39}">
  <sheetPr>
    <pageSetUpPr fitToPage="1"/>
  </sheetPr>
  <dimension ref="A1:R81"/>
  <sheetViews>
    <sheetView zoomScaleNormal="100" workbookViewId="0">
      <selection activeCell="Q1" sqref="Q1"/>
    </sheetView>
  </sheetViews>
  <sheetFormatPr defaultRowHeight="15" x14ac:dyDescent="0.25"/>
  <cols>
    <col min="1" max="1" width="12.140625" customWidth="1"/>
    <col min="15" max="15" width="9.42578125" bestFit="1" customWidth="1"/>
    <col min="16" max="16" width="15.42578125" customWidth="1"/>
  </cols>
  <sheetData>
    <row r="1" spans="1:18" ht="30" customHeight="1" thickBot="1" x14ac:dyDescent="0.3">
      <c r="A1" s="121" t="s">
        <v>141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</row>
    <row r="2" spans="1:18" ht="14.25" customHeight="1" thickTop="1" x14ac:dyDescent="0.25">
      <c r="A2" s="27" t="s">
        <v>1</v>
      </c>
      <c r="B2" s="122" t="s">
        <v>40</v>
      </c>
      <c r="C2" s="123"/>
      <c r="D2" s="124" t="s">
        <v>6</v>
      </c>
      <c r="E2" s="124"/>
      <c r="F2" s="122" t="s">
        <v>17</v>
      </c>
      <c r="G2" s="124"/>
      <c r="H2" s="123"/>
      <c r="I2" s="122" t="s">
        <v>18</v>
      </c>
      <c r="J2" s="124"/>
      <c r="K2" s="124"/>
      <c r="L2" s="124"/>
      <c r="M2" s="124"/>
      <c r="N2" s="123"/>
      <c r="O2" s="28" t="s">
        <v>36</v>
      </c>
      <c r="P2" s="28" t="s">
        <v>37</v>
      </c>
    </row>
    <row r="3" spans="1:18" ht="16.5" thickBot="1" x14ac:dyDescent="0.3">
      <c r="A3" s="29"/>
      <c r="B3" s="30" t="s">
        <v>15</v>
      </c>
      <c r="C3" s="31" t="s">
        <v>16</v>
      </c>
      <c r="D3" s="32" t="s">
        <v>55</v>
      </c>
      <c r="E3" s="32" t="s">
        <v>54</v>
      </c>
      <c r="F3" s="30" t="s">
        <v>56</v>
      </c>
      <c r="G3" s="32" t="s">
        <v>57</v>
      </c>
      <c r="H3" s="31" t="s">
        <v>58</v>
      </c>
      <c r="I3" s="30" t="s">
        <v>59</v>
      </c>
      <c r="J3" s="32" t="s">
        <v>60</v>
      </c>
      <c r="K3" s="32" t="s">
        <v>61</v>
      </c>
      <c r="L3" s="32" t="s">
        <v>62</v>
      </c>
      <c r="M3" s="32" t="s">
        <v>63</v>
      </c>
      <c r="N3" s="31" t="s">
        <v>64</v>
      </c>
      <c r="O3" s="33"/>
      <c r="P3" s="33"/>
    </row>
    <row r="4" spans="1:18" x14ac:dyDescent="0.25">
      <c r="A4" s="108" t="s">
        <v>30</v>
      </c>
      <c r="B4" s="109"/>
      <c r="C4" s="110"/>
      <c r="D4" s="111"/>
      <c r="E4" s="111"/>
      <c r="F4" s="109"/>
      <c r="G4" s="111"/>
      <c r="H4" s="110"/>
      <c r="I4" s="109"/>
      <c r="J4" s="111"/>
      <c r="K4" s="111"/>
      <c r="L4" s="111"/>
      <c r="M4" s="111"/>
      <c r="N4" s="110"/>
      <c r="O4" s="103"/>
      <c r="P4" s="104"/>
      <c r="Q4" s="10"/>
    </row>
    <row r="5" spans="1:18" ht="16.5" thickBot="1" x14ac:dyDescent="0.3">
      <c r="A5" s="32" t="s">
        <v>15</v>
      </c>
      <c r="B5" s="112"/>
      <c r="C5" s="113"/>
      <c r="D5" s="114"/>
      <c r="E5" s="114"/>
      <c r="F5" s="112"/>
      <c r="G5" s="114"/>
      <c r="H5" s="113"/>
      <c r="I5" s="112"/>
      <c r="J5" s="114"/>
      <c r="K5" s="114"/>
      <c r="L5" s="114"/>
      <c r="M5" s="114"/>
      <c r="N5" s="113"/>
      <c r="O5" s="115" t="s">
        <v>38</v>
      </c>
      <c r="P5" s="116" t="s">
        <v>38</v>
      </c>
      <c r="Q5" s="10"/>
    </row>
    <row r="6" spans="1:18" ht="18.75" x14ac:dyDescent="0.3">
      <c r="A6" s="105" t="s">
        <v>16</v>
      </c>
      <c r="B6" s="54" t="s">
        <v>65</v>
      </c>
      <c r="C6" s="55"/>
      <c r="D6" s="56" t="s">
        <v>65</v>
      </c>
      <c r="E6" s="57"/>
      <c r="F6" s="54" t="s">
        <v>65</v>
      </c>
      <c r="G6" s="56"/>
      <c r="H6" s="55"/>
      <c r="I6" s="54" t="s">
        <v>65</v>
      </c>
      <c r="J6" s="56"/>
      <c r="K6" s="56"/>
      <c r="L6" s="56"/>
      <c r="M6" s="56"/>
      <c r="N6" s="55"/>
      <c r="O6" s="106">
        <v>0.79400000000000004</v>
      </c>
      <c r="P6" s="107" t="s">
        <v>66</v>
      </c>
      <c r="Q6" s="10"/>
      <c r="R6" t="s">
        <v>14</v>
      </c>
    </row>
    <row r="7" spans="1:18" ht="18.75" x14ac:dyDescent="0.3">
      <c r="A7" s="22"/>
      <c r="B7" s="40" t="s">
        <v>65</v>
      </c>
      <c r="C7" s="41"/>
      <c r="D7" s="42" t="s">
        <v>65</v>
      </c>
      <c r="E7" s="43"/>
      <c r="F7" s="40" t="s">
        <v>65</v>
      </c>
      <c r="G7" s="42"/>
      <c r="H7" s="41"/>
      <c r="I7" s="40"/>
      <c r="J7" s="42" t="s">
        <v>65</v>
      </c>
      <c r="K7" s="42"/>
      <c r="L7" s="42"/>
      <c r="M7" s="42"/>
      <c r="N7" s="41"/>
      <c r="O7" s="44">
        <v>1.7130000000000001</v>
      </c>
      <c r="P7" s="45" t="s">
        <v>67</v>
      </c>
      <c r="Q7" s="10"/>
    </row>
    <row r="8" spans="1:18" ht="18.75" x14ac:dyDescent="0.3">
      <c r="A8" s="22"/>
      <c r="B8" s="40" t="s">
        <v>65</v>
      </c>
      <c r="C8" s="41"/>
      <c r="D8" s="42" t="s">
        <v>65</v>
      </c>
      <c r="E8" s="43"/>
      <c r="F8" s="40" t="s">
        <v>65</v>
      </c>
      <c r="G8" s="42"/>
      <c r="H8" s="41"/>
      <c r="I8" s="40"/>
      <c r="J8" s="42"/>
      <c r="K8" s="42" t="s">
        <v>65</v>
      </c>
      <c r="L8" s="42"/>
      <c r="M8" s="42"/>
      <c r="N8" s="41"/>
      <c r="O8" s="46">
        <v>0.90400000000000003</v>
      </c>
      <c r="P8" s="47" t="s">
        <v>68</v>
      </c>
      <c r="Q8" s="10"/>
    </row>
    <row r="9" spans="1:18" ht="18.75" x14ac:dyDescent="0.3">
      <c r="A9" s="22"/>
      <c r="B9" s="40" t="s">
        <v>65</v>
      </c>
      <c r="C9" s="41"/>
      <c r="D9" s="42" t="s">
        <v>65</v>
      </c>
      <c r="E9" s="43"/>
      <c r="F9" s="40" t="s">
        <v>65</v>
      </c>
      <c r="G9" s="42"/>
      <c r="H9" s="41"/>
      <c r="I9" s="40"/>
      <c r="J9" s="42"/>
      <c r="K9" s="42"/>
      <c r="L9" s="42" t="s">
        <v>65</v>
      </c>
      <c r="M9" s="42"/>
      <c r="N9" s="41"/>
      <c r="O9" s="46">
        <v>0.68899999999999995</v>
      </c>
      <c r="P9" s="47" t="s">
        <v>69</v>
      </c>
      <c r="Q9" s="10"/>
    </row>
    <row r="10" spans="1:18" ht="18.75" x14ac:dyDescent="0.3">
      <c r="A10" s="22"/>
      <c r="B10" s="40" t="s">
        <v>65</v>
      </c>
      <c r="C10" s="41"/>
      <c r="D10" s="42" t="s">
        <v>65</v>
      </c>
      <c r="E10" s="43"/>
      <c r="F10" s="40" t="s">
        <v>65</v>
      </c>
      <c r="G10" s="42"/>
      <c r="H10" s="41"/>
      <c r="I10" s="40"/>
      <c r="J10" s="42"/>
      <c r="K10" s="42"/>
      <c r="L10" s="42"/>
      <c r="M10" s="42" t="s">
        <v>65</v>
      </c>
      <c r="N10" s="41"/>
      <c r="O10" s="44">
        <v>1.637</v>
      </c>
      <c r="P10" s="45" t="s">
        <v>70</v>
      </c>
      <c r="Q10" s="10"/>
    </row>
    <row r="11" spans="1:18" ht="19.5" thickBot="1" x14ac:dyDescent="0.35">
      <c r="A11" s="22"/>
      <c r="B11" s="48" t="s">
        <v>65</v>
      </c>
      <c r="C11" s="49"/>
      <c r="D11" s="50" t="s">
        <v>65</v>
      </c>
      <c r="E11" s="51"/>
      <c r="F11" s="48" t="s">
        <v>65</v>
      </c>
      <c r="G11" s="50"/>
      <c r="H11" s="49"/>
      <c r="I11" s="48"/>
      <c r="J11" s="50"/>
      <c r="K11" s="50"/>
      <c r="L11" s="50"/>
      <c r="M11" s="50"/>
      <c r="N11" s="49" t="s">
        <v>65</v>
      </c>
      <c r="O11" s="52">
        <v>0.64300000000000002</v>
      </c>
      <c r="P11" s="53" t="s">
        <v>71</v>
      </c>
      <c r="Q11" s="10"/>
    </row>
    <row r="12" spans="1:18" ht="18.75" x14ac:dyDescent="0.3">
      <c r="A12" s="22"/>
      <c r="B12" s="54" t="s">
        <v>65</v>
      </c>
      <c r="C12" s="55"/>
      <c r="D12" s="56" t="s">
        <v>65</v>
      </c>
      <c r="E12" s="57"/>
      <c r="F12" s="54"/>
      <c r="G12" s="56" t="s">
        <v>65</v>
      </c>
      <c r="H12" s="55"/>
      <c r="I12" s="54" t="s">
        <v>65</v>
      </c>
      <c r="J12" s="56"/>
      <c r="K12" s="56"/>
      <c r="L12" s="56"/>
      <c r="M12" s="56"/>
      <c r="N12" s="55"/>
      <c r="O12" s="58">
        <v>0.79700000000000004</v>
      </c>
      <c r="P12" s="59" t="s">
        <v>72</v>
      </c>
      <c r="Q12" s="10"/>
      <c r="R12" t="s">
        <v>14</v>
      </c>
    </row>
    <row r="13" spans="1:18" ht="18.75" x14ac:dyDescent="0.3">
      <c r="A13" s="22"/>
      <c r="B13" s="40" t="s">
        <v>65</v>
      </c>
      <c r="C13" s="41"/>
      <c r="D13" s="42" t="s">
        <v>65</v>
      </c>
      <c r="E13" s="43"/>
      <c r="F13" s="40"/>
      <c r="G13" s="42" t="s">
        <v>65</v>
      </c>
      <c r="H13" s="41"/>
      <c r="I13" s="40"/>
      <c r="J13" s="42" t="s">
        <v>65</v>
      </c>
      <c r="K13" s="42"/>
      <c r="L13" s="42"/>
      <c r="M13" s="42"/>
      <c r="N13" s="41"/>
      <c r="O13" s="44">
        <v>1.4419999999999999</v>
      </c>
      <c r="P13" s="45" t="s">
        <v>73</v>
      </c>
      <c r="Q13" s="10"/>
    </row>
    <row r="14" spans="1:18" ht="18.75" x14ac:dyDescent="0.3">
      <c r="A14" s="22"/>
      <c r="B14" s="40" t="s">
        <v>65</v>
      </c>
      <c r="C14" s="41"/>
      <c r="D14" s="42" t="s">
        <v>65</v>
      </c>
      <c r="E14" s="43"/>
      <c r="F14" s="40"/>
      <c r="G14" s="42" t="s">
        <v>65</v>
      </c>
      <c r="H14" s="41"/>
      <c r="I14" s="40"/>
      <c r="J14" s="42"/>
      <c r="K14" s="42" t="s">
        <v>65</v>
      </c>
      <c r="L14" s="42"/>
      <c r="M14" s="42"/>
      <c r="N14" s="41"/>
      <c r="O14" s="46">
        <v>0.66800000000000004</v>
      </c>
      <c r="P14" s="47" t="s">
        <v>74</v>
      </c>
      <c r="Q14" s="10"/>
    </row>
    <row r="15" spans="1:18" ht="18.75" x14ac:dyDescent="0.3">
      <c r="A15" s="22"/>
      <c r="B15" s="40" t="s">
        <v>65</v>
      </c>
      <c r="C15" s="41"/>
      <c r="D15" s="42" t="s">
        <v>65</v>
      </c>
      <c r="E15" s="43"/>
      <c r="F15" s="40"/>
      <c r="G15" s="42" t="s">
        <v>65</v>
      </c>
      <c r="H15" s="41"/>
      <c r="I15" s="40"/>
      <c r="J15" s="42"/>
      <c r="K15" s="42"/>
      <c r="L15" s="42" t="s">
        <v>65</v>
      </c>
      <c r="M15" s="42"/>
      <c r="N15" s="41"/>
      <c r="O15" s="46">
        <v>1.413</v>
      </c>
      <c r="P15" s="47" t="s">
        <v>75</v>
      </c>
      <c r="Q15" s="10"/>
    </row>
    <row r="16" spans="1:18" ht="18.75" x14ac:dyDescent="0.3">
      <c r="A16" s="22"/>
      <c r="B16" s="40" t="s">
        <v>65</v>
      </c>
      <c r="C16" s="41"/>
      <c r="D16" s="42" t="s">
        <v>65</v>
      </c>
      <c r="E16" s="43"/>
      <c r="F16" s="40"/>
      <c r="G16" s="42" t="s">
        <v>65</v>
      </c>
      <c r="H16" s="41"/>
      <c r="I16" s="40"/>
      <c r="J16" s="42"/>
      <c r="K16" s="42"/>
      <c r="L16" s="42"/>
      <c r="M16" s="42" t="s">
        <v>65</v>
      </c>
      <c r="N16" s="41"/>
      <c r="O16" s="44">
        <v>1.403</v>
      </c>
      <c r="P16" s="45" t="s">
        <v>76</v>
      </c>
      <c r="Q16" s="10"/>
    </row>
    <row r="17" spans="1:18" ht="19.5" thickBot="1" x14ac:dyDescent="0.35">
      <c r="A17" s="22"/>
      <c r="B17" s="60" t="s">
        <v>65</v>
      </c>
      <c r="C17" s="61"/>
      <c r="D17" s="62" t="s">
        <v>65</v>
      </c>
      <c r="E17" s="63"/>
      <c r="F17" s="60"/>
      <c r="G17" s="62" t="s">
        <v>65</v>
      </c>
      <c r="H17" s="61"/>
      <c r="I17" s="60"/>
      <c r="J17" s="62"/>
      <c r="K17" s="62"/>
      <c r="L17" s="62"/>
      <c r="M17" s="62"/>
      <c r="N17" s="61" t="s">
        <v>65</v>
      </c>
      <c r="O17" s="64">
        <v>1.0149999999999999</v>
      </c>
      <c r="P17" s="65" t="s">
        <v>77</v>
      </c>
      <c r="Q17" s="10"/>
    </row>
    <row r="18" spans="1:18" ht="18.75" x14ac:dyDescent="0.3">
      <c r="A18" s="22"/>
      <c r="B18" s="34" t="s">
        <v>65</v>
      </c>
      <c r="C18" s="35"/>
      <c r="D18" s="36" t="s">
        <v>65</v>
      </c>
      <c r="E18" s="37"/>
      <c r="F18" s="34"/>
      <c r="G18" s="36"/>
      <c r="H18" s="66" t="s">
        <v>65</v>
      </c>
      <c r="I18" s="34" t="s">
        <v>65</v>
      </c>
      <c r="J18" s="36"/>
      <c r="K18" s="36"/>
      <c r="L18" s="36"/>
      <c r="M18" s="36"/>
      <c r="N18" s="35"/>
      <c r="O18" s="38">
        <v>0.96399999999999997</v>
      </c>
      <c r="P18" s="39" t="s">
        <v>78</v>
      </c>
      <c r="Q18" s="10"/>
      <c r="R18" t="s">
        <v>14</v>
      </c>
    </row>
    <row r="19" spans="1:18" ht="18.75" x14ac:dyDescent="0.3">
      <c r="A19" s="22"/>
      <c r="B19" s="40" t="s">
        <v>65</v>
      </c>
      <c r="C19" s="41"/>
      <c r="D19" s="42" t="s">
        <v>65</v>
      </c>
      <c r="E19" s="43"/>
      <c r="F19" s="40"/>
      <c r="G19" s="42"/>
      <c r="H19" s="67" t="s">
        <v>65</v>
      </c>
      <c r="I19" s="40"/>
      <c r="J19" s="42" t="s">
        <v>65</v>
      </c>
      <c r="K19" s="42"/>
      <c r="L19" s="42"/>
      <c r="M19" s="42"/>
      <c r="N19" s="41"/>
      <c r="O19" s="46">
        <v>1.109</v>
      </c>
      <c r="P19" s="47" t="s">
        <v>79</v>
      </c>
      <c r="Q19" s="10"/>
    </row>
    <row r="20" spans="1:18" ht="18.75" x14ac:dyDescent="0.3">
      <c r="A20" s="22"/>
      <c r="B20" s="40" t="s">
        <v>65</v>
      </c>
      <c r="C20" s="41"/>
      <c r="D20" s="42" t="s">
        <v>65</v>
      </c>
      <c r="E20" s="43"/>
      <c r="F20" s="40"/>
      <c r="G20" s="42"/>
      <c r="H20" s="67" t="s">
        <v>65</v>
      </c>
      <c r="I20" s="40"/>
      <c r="J20" s="42"/>
      <c r="K20" s="42" t="s">
        <v>65</v>
      </c>
      <c r="L20" s="42"/>
      <c r="M20" s="42"/>
      <c r="N20" s="41"/>
      <c r="O20" s="68">
        <v>0.58299999999999996</v>
      </c>
      <c r="P20" s="69" t="s">
        <v>80</v>
      </c>
      <c r="Q20" s="10"/>
    </row>
    <row r="21" spans="1:18" ht="18.75" x14ac:dyDescent="0.3">
      <c r="A21" s="22"/>
      <c r="B21" s="40" t="s">
        <v>65</v>
      </c>
      <c r="C21" s="41"/>
      <c r="D21" s="42" t="s">
        <v>65</v>
      </c>
      <c r="E21" s="43"/>
      <c r="F21" s="40"/>
      <c r="G21" s="42"/>
      <c r="H21" s="67" t="s">
        <v>65</v>
      </c>
      <c r="I21" s="40"/>
      <c r="J21" s="42"/>
      <c r="K21" s="42"/>
      <c r="L21" s="42" t="s">
        <v>65</v>
      </c>
      <c r="M21" s="42"/>
      <c r="N21" s="41"/>
      <c r="O21" s="46">
        <v>0.99</v>
      </c>
      <c r="P21" s="47" t="s">
        <v>81</v>
      </c>
      <c r="Q21" s="10"/>
    </row>
    <row r="22" spans="1:18" ht="18.75" x14ac:dyDescent="0.3">
      <c r="A22" s="22"/>
      <c r="B22" s="40" t="s">
        <v>65</v>
      </c>
      <c r="C22" s="41"/>
      <c r="D22" s="42" t="s">
        <v>65</v>
      </c>
      <c r="E22" s="43"/>
      <c r="F22" s="40"/>
      <c r="G22" s="42"/>
      <c r="H22" s="67" t="s">
        <v>65</v>
      </c>
      <c r="I22" s="40"/>
      <c r="J22" s="42"/>
      <c r="K22" s="42"/>
      <c r="L22" s="42"/>
      <c r="M22" s="42" t="s">
        <v>65</v>
      </c>
      <c r="N22" s="41"/>
      <c r="O22" s="46">
        <v>1.115</v>
      </c>
      <c r="P22" s="47" t="s">
        <v>82</v>
      </c>
      <c r="Q22" s="10"/>
    </row>
    <row r="23" spans="1:18" ht="19.5" thickBot="1" x14ac:dyDescent="0.35">
      <c r="A23" s="22"/>
      <c r="B23" s="48" t="s">
        <v>65</v>
      </c>
      <c r="C23" s="49"/>
      <c r="D23" s="50" t="s">
        <v>65</v>
      </c>
      <c r="E23" s="51"/>
      <c r="F23" s="48"/>
      <c r="G23" s="50"/>
      <c r="H23" s="70" t="s">
        <v>65</v>
      </c>
      <c r="I23" s="48"/>
      <c r="J23" s="50"/>
      <c r="K23" s="50"/>
      <c r="L23" s="50"/>
      <c r="M23" s="50"/>
      <c r="N23" s="49" t="s">
        <v>65</v>
      </c>
      <c r="O23" s="52">
        <v>1.018</v>
      </c>
      <c r="P23" s="53" t="s">
        <v>83</v>
      </c>
      <c r="Q23" s="10"/>
    </row>
    <row r="24" spans="1:18" ht="19.5" thickTop="1" x14ac:dyDescent="0.3">
      <c r="A24" s="22"/>
      <c r="B24" s="71" t="s">
        <v>65</v>
      </c>
      <c r="C24" s="72"/>
      <c r="D24" s="73"/>
      <c r="E24" s="73" t="s">
        <v>65</v>
      </c>
      <c r="F24" s="71" t="s">
        <v>65</v>
      </c>
      <c r="G24" s="73"/>
      <c r="H24" s="72"/>
      <c r="I24" s="71" t="s">
        <v>65</v>
      </c>
      <c r="J24" s="73"/>
      <c r="K24" s="73"/>
      <c r="L24" s="73"/>
      <c r="M24" s="73"/>
      <c r="N24" s="72"/>
      <c r="O24" s="74">
        <v>0.59599999999999997</v>
      </c>
      <c r="P24" s="75" t="s">
        <v>84</v>
      </c>
      <c r="Q24" s="10"/>
      <c r="R24" t="s">
        <v>14</v>
      </c>
    </row>
    <row r="25" spans="1:18" ht="18.75" x14ac:dyDescent="0.3">
      <c r="A25" s="22"/>
      <c r="B25" s="40" t="s">
        <v>65</v>
      </c>
      <c r="C25" s="41"/>
      <c r="D25" s="42"/>
      <c r="E25" s="42" t="s">
        <v>65</v>
      </c>
      <c r="F25" s="40" t="s">
        <v>65</v>
      </c>
      <c r="G25" s="42"/>
      <c r="H25" s="41"/>
      <c r="I25" s="40"/>
      <c r="J25" s="42" t="s">
        <v>65</v>
      </c>
      <c r="K25" s="42"/>
      <c r="L25" s="42"/>
      <c r="M25" s="42"/>
      <c r="N25" s="41"/>
      <c r="O25" s="46">
        <v>0.88600000000000001</v>
      </c>
      <c r="P25" s="47" t="s">
        <v>85</v>
      </c>
      <c r="Q25" s="10"/>
    </row>
    <row r="26" spans="1:18" ht="18.75" x14ac:dyDescent="0.3">
      <c r="A26" s="22"/>
      <c r="B26" s="40" t="s">
        <v>65</v>
      </c>
      <c r="C26" s="41"/>
      <c r="D26" s="42"/>
      <c r="E26" s="42" t="s">
        <v>65</v>
      </c>
      <c r="F26" s="40" t="s">
        <v>65</v>
      </c>
      <c r="G26" s="42"/>
      <c r="H26" s="41"/>
      <c r="I26" s="40"/>
      <c r="J26" s="42"/>
      <c r="K26" s="42" t="s">
        <v>65</v>
      </c>
      <c r="L26" s="42"/>
      <c r="M26" s="42"/>
      <c r="N26" s="41"/>
      <c r="O26" s="46">
        <v>0.77500000000000002</v>
      </c>
      <c r="P26" s="47" t="s">
        <v>86</v>
      </c>
      <c r="Q26" s="10"/>
    </row>
    <row r="27" spans="1:18" ht="18.75" x14ac:dyDescent="0.3">
      <c r="A27" s="22"/>
      <c r="B27" s="40" t="s">
        <v>65</v>
      </c>
      <c r="C27" s="41"/>
      <c r="D27" s="42"/>
      <c r="E27" s="42" t="s">
        <v>65</v>
      </c>
      <c r="F27" s="40" t="s">
        <v>65</v>
      </c>
      <c r="G27" s="42"/>
      <c r="H27" s="41"/>
      <c r="I27" s="40"/>
      <c r="J27" s="42"/>
      <c r="K27" s="42"/>
      <c r="L27" s="42" t="s">
        <v>65</v>
      </c>
      <c r="M27" s="42"/>
      <c r="N27" s="41"/>
      <c r="O27" s="46">
        <v>0.45800000000000002</v>
      </c>
      <c r="P27" s="47" t="s">
        <v>87</v>
      </c>
      <c r="Q27" s="10"/>
    </row>
    <row r="28" spans="1:18" ht="18.75" x14ac:dyDescent="0.3">
      <c r="A28" s="22"/>
      <c r="B28" s="40" t="s">
        <v>65</v>
      </c>
      <c r="C28" s="41"/>
      <c r="D28" s="42"/>
      <c r="E28" s="42" t="s">
        <v>65</v>
      </c>
      <c r="F28" s="40" t="s">
        <v>65</v>
      </c>
      <c r="G28" s="42"/>
      <c r="H28" s="41"/>
      <c r="I28" s="40"/>
      <c r="J28" s="42"/>
      <c r="K28" s="42"/>
      <c r="L28" s="42"/>
      <c r="M28" s="42" t="s">
        <v>65</v>
      </c>
      <c r="N28" s="41"/>
      <c r="O28" s="46">
        <v>0.96699999999999997</v>
      </c>
      <c r="P28" s="47" t="s">
        <v>88</v>
      </c>
      <c r="Q28" s="10"/>
    </row>
    <row r="29" spans="1:18" ht="19.5" thickBot="1" x14ac:dyDescent="0.35">
      <c r="A29" s="22"/>
      <c r="B29" s="48" t="s">
        <v>65</v>
      </c>
      <c r="C29" s="49"/>
      <c r="D29" s="50"/>
      <c r="E29" s="50" t="s">
        <v>65</v>
      </c>
      <c r="F29" s="48" t="s">
        <v>65</v>
      </c>
      <c r="G29" s="50"/>
      <c r="H29" s="49"/>
      <c r="I29" s="48"/>
      <c r="J29" s="50"/>
      <c r="K29" s="50"/>
      <c r="L29" s="50"/>
      <c r="M29" s="50"/>
      <c r="N29" s="49" t="s">
        <v>65</v>
      </c>
      <c r="O29" s="76">
        <v>0.43</v>
      </c>
      <c r="P29" s="77" t="s">
        <v>89</v>
      </c>
      <c r="Q29" s="10"/>
    </row>
    <row r="30" spans="1:18" ht="18.75" x14ac:dyDescent="0.3">
      <c r="A30" s="22"/>
      <c r="B30" s="54" t="s">
        <v>65</v>
      </c>
      <c r="C30" s="55"/>
      <c r="D30" s="56"/>
      <c r="E30" s="56" t="s">
        <v>65</v>
      </c>
      <c r="F30" s="54"/>
      <c r="G30" s="56" t="s">
        <v>65</v>
      </c>
      <c r="H30" s="55"/>
      <c r="I30" s="54" t="s">
        <v>65</v>
      </c>
      <c r="J30" s="56"/>
      <c r="K30" s="56"/>
      <c r="L30" s="56"/>
      <c r="M30" s="56"/>
      <c r="N30" s="55"/>
      <c r="O30" s="58">
        <v>0.83</v>
      </c>
      <c r="P30" s="59" t="s">
        <v>90</v>
      </c>
      <c r="Q30" s="10"/>
      <c r="R30" t="s">
        <v>14</v>
      </c>
    </row>
    <row r="31" spans="1:18" ht="18.75" x14ac:dyDescent="0.3">
      <c r="A31" s="22"/>
      <c r="B31" s="40" t="s">
        <v>65</v>
      </c>
      <c r="C31" s="41"/>
      <c r="D31" s="42"/>
      <c r="E31" s="42" t="s">
        <v>65</v>
      </c>
      <c r="F31" s="40"/>
      <c r="G31" s="42" t="s">
        <v>65</v>
      </c>
      <c r="H31" s="41"/>
      <c r="I31" s="40"/>
      <c r="J31" s="42" t="s">
        <v>65</v>
      </c>
      <c r="K31" s="42"/>
      <c r="L31" s="42"/>
      <c r="M31" s="42"/>
      <c r="N31" s="41"/>
      <c r="O31" s="46">
        <v>1.034</v>
      </c>
      <c r="P31" s="47" t="s">
        <v>91</v>
      </c>
      <c r="Q31" s="10"/>
    </row>
    <row r="32" spans="1:18" ht="18.75" x14ac:dyDescent="0.3">
      <c r="A32" s="22"/>
      <c r="B32" s="40" t="s">
        <v>65</v>
      </c>
      <c r="C32" s="41"/>
      <c r="D32" s="42"/>
      <c r="E32" s="42" t="s">
        <v>65</v>
      </c>
      <c r="F32" s="40"/>
      <c r="G32" s="42" t="s">
        <v>65</v>
      </c>
      <c r="H32" s="41"/>
      <c r="I32" s="40"/>
      <c r="J32" s="42"/>
      <c r="K32" s="42" t="s">
        <v>65</v>
      </c>
      <c r="L32" s="42"/>
      <c r="M32" s="42"/>
      <c r="N32" s="41"/>
      <c r="O32" s="46">
        <v>0.79400000000000004</v>
      </c>
      <c r="P32" s="47" t="s">
        <v>92</v>
      </c>
      <c r="Q32" s="10"/>
    </row>
    <row r="33" spans="1:18" ht="18.75" x14ac:dyDescent="0.3">
      <c r="A33" s="22"/>
      <c r="B33" s="40" t="s">
        <v>65</v>
      </c>
      <c r="C33" s="41"/>
      <c r="D33" s="42"/>
      <c r="E33" s="42" t="s">
        <v>65</v>
      </c>
      <c r="F33" s="40"/>
      <c r="G33" s="42" t="s">
        <v>65</v>
      </c>
      <c r="H33" s="41"/>
      <c r="I33" s="40"/>
      <c r="J33" s="42"/>
      <c r="K33" s="42"/>
      <c r="L33" s="42" t="s">
        <v>65</v>
      </c>
      <c r="M33" s="42"/>
      <c r="N33" s="41"/>
      <c r="O33" s="46">
        <v>1.302</v>
      </c>
      <c r="P33" s="47" t="s">
        <v>93</v>
      </c>
      <c r="Q33" s="10"/>
    </row>
    <row r="34" spans="1:18" ht="18.75" x14ac:dyDescent="0.3">
      <c r="A34" s="22"/>
      <c r="B34" s="40" t="s">
        <v>65</v>
      </c>
      <c r="C34" s="41"/>
      <c r="D34" s="42"/>
      <c r="E34" s="42" t="s">
        <v>65</v>
      </c>
      <c r="F34" s="40"/>
      <c r="G34" s="42" t="s">
        <v>65</v>
      </c>
      <c r="H34" s="41"/>
      <c r="I34" s="40"/>
      <c r="J34" s="42"/>
      <c r="K34" s="42"/>
      <c r="L34" s="42"/>
      <c r="M34" s="42" t="s">
        <v>65</v>
      </c>
      <c r="N34" s="41"/>
      <c r="O34" s="46">
        <v>1.1499999999999999</v>
      </c>
      <c r="P34" s="47" t="s">
        <v>94</v>
      </c>
      <c r="Q34" s="10"/>
    </row>
    <row r="35" spans="1:18" ht="19.5" thickBot="1" x14ac:dyDescent="0.35">
      <c r="A35" s="22"/>
      <c r="B35" s="60" t="s">
        <v>65</v>
      </c>
      <c r="C35" s="61"/>
      <c r="D35" s="62"/>
      <c r="E35" s="62" t="s">
        <v>65</v>
      </c>
      <c r="F35" s="60"/>
      <c r="G35" s="62" t="s">
        <v>65</v>
      </c>
      <c r="H35" s="61"/>
      <c r="I35" s="60"/>
      <c r="J35" s="62"/>
      <c r="K35" s="62"/>
      <c r="L35" s="62"/>
      <c r="M35" s="62"/>
      <c r="N35" s="61" t="s">
        <v>65</v>
      </c>
      <c r="O35" s="64">
        <v>0.94299999999999995</v>
      </c>
      <c r="P35" s="65" t="s">
        <v>95</v>
      </c>
      <c r="Q35" s="10"/>
    </row>
    <row r="36" spans="1:18" ht="18.75" x14ac:dyDescent="0.3">
      <c r="A36" s="22"/>
      <c r="B36" s="34" t="s">
        <v>65</v>
      </c>
      <c r="C36" s="35"/>
      <c r="D36" s="36"/>
      <c r="E36" s="36" t="s">
        <v>65</v>
      </c>
      <c r="F36" s="34"/>
      <c r="G36" s="36"/>
      <c r="H36" s="66" t="s">
        <v>65</v>
      </c>
      <c r="I36" s="34" t="s">
        <v>65</v>
      </c>
      <c r="J36" s="36"/>
      <c r="K36" s="36"/>
      <c r="L36" s="36"/>
      <c r="M36" s="36"/>
      <c r="N36" s="35"/>
      <c r="O36" s="78">
        <v>1.4119999999999999</v>
      </c>
      <c r="P36" s="79" t="s">
        <v>96</v>
      </c>
      <c r="Q36" s="10"/>
      <c r="R36" t="s">
        <v>14</v>
      </c>
    </row>
    <row r="37" spans="1:18" ht="18.75" x14ac:dyDescent="0.3">
      <c r="A37" s="22"/>
      <c r="B37" s="40" t="s">
        <v>65</v>
      </c>
      <c r="C37" s="41"/>
      <c r="D37" s="42"/>
      <c r="E37" s="42" t="s">
        <v>65</v>
      </c>
      <c r="F37" s="40"/>
      <c r="G37" s="42"/>
      <c r="H37" s="67" t="s">
        <v>65</v>
      </c>
      <c r="I37" s="40"/>
      <c r="J37" s="42" t="s">
        <v>65</v>
      </c>
      <c r="K37" s="42"/>
      <c r="L37" s="42"/>
      <c r="M37" s="42"/>
      <c r="N37" s="41"/>
      <c r="O37" s="46">
        <v>1.119</v>
      </c>
      <c r="P37" s="47" t="s">
        <v>97</v>
      </c>
      <c r="Q37" s="10"/>
    </row>
    <row r="38" spans="1:18" ht="18.75" x14ac:dyDescent="0.3">
      <c r="A38" s="22"/>
      <c r="B38" s="40" t="s">
        <v>65</v>
      </c>
      <c r="C38" s="41"/>
      <c r="D38" s="42"/>
      <c r="E38" s="42" t="s">
        <v>65</v>
      </c>
      <c r="F38" s="40"/>
      <c r="G38" s="42"/>
      <c r="H38" s="67" t="s">
        <v>65</v>
      </c>
      <c r="I38" s="40"/>
      <c r="J38" s="42"/>
      <c r="K38" s="42" t="s">
        <v>65</v>
      </c>
      <c r="L38" s="42"/>
      <c r="M38" s="42"/>
      <c r="N38" s="41"/>
      <c r="O38" s="46">
        <v>0.97399999999999998</v>
      </c>
      <c r="P38" s="47" t="s">
        <v>98</v>
      </c>
      <c r="Q38" s="10"/>
    </row>
    <row r="39" spans="1:18" ht="18.75" x14ac:dyDescent="0.3">
      <c r="A39" s="22"/>
      <c r="B39" s="40" t="s">
        <v>65</v>
      </c>
      <c r="C39" s="41"/>
      <c r="D39" s="42"/>
      <c r="E39" s="42" t="s">
        <v>65</v>
      </c>
      <c r="F39" s="40"/>
      <c r="G39" s="42"/>
      <c r="H39" s="67" t="s">
        <v>65</v>
      </c>
      <c r="I39" s="40"/>
      <c r="J39" s="42"/>
      <c r="K39" s="42"/>
      <c r="L39" s="42" t="s">
        <v>65</v>
      </c>
      <c r="M39" s="42"/>
      <c r="N39" s="41"/>
      <c r="O39" s="46">
        <v>1.2829999999999999</v>
      </c>
      <c r="P39" s="47" t="s">
        <v>99</v>
      </c>
      <c r="Q39" s="10"/>
    </row>
    <row r="40" spans="1:18" ht="18.75" x14ac:dyDescent="0.3">
      <c r="A40" s="22"/>
      <c r="B40" s="40" t="s">
        <v>65</v>
      </c>
      <c r="C40" s="41"/>
      <c r="D40" s="42"/>
      <c r="E40" s="42" t="s">
        <v>65</v>
      </c>
      <c r="F40" s="40"/>
      <c r="G40" s="42"/>
      <c r="H40" s="67" t="s">
        <v>65</v>
      </c>
      <c r="I40" s="40"/>
      <c r="J40" s="42"/>
      <c r="K40" s="42"/>
      <c r="L40" s="42"/>
      <c r="M40" s="42" t="s">
        <v>65</v>
      </c>
      <c r="N40" s="41"/>
      <c r="O40" s="44">
        <v>1.286</v>
      </c>
      <c r="P40" s="45" t="s">
        <v>102</v>
      </c>
      <c r="Q40" s="10"/>
    </row>
    <row r="41" spans="1:18" ht="19.5" thickBot="1" x14ac:dyDescent="0.35">
      <c r="A41" s="22"/>
      <c r="B41" s="48" t="s">
        <v>65</v>
      </c>
      <c r="C41" s="49"/>
      <c r="D41" s="50"/>
      <c r="E41" s="50" t="s">
        <v>65</v>
      </c>
      <c r="F41" s="48"/>
      <c r="G41" s="50"/>
      <c r="H41" s="70" t="s">
        <v>65</v>
      </c>
      <c r="I41" s="48"/>
      <c r="J41" s="50"/>
      <c r="K41" s="50"/>
      <c r="L41" s="50"/>
      <c r="M41" s="50"/>
      <c r="N41" s="49" t="s">
        <v>65</v>
      </c>
      <c r="O41" s="80">
        <v>1.33</v>
      </c>
      <c r="P41" s="81" t="s">
        <v>100</v>
      </c>
      <c r="Q41" s="10"/>
    </row>
    <row r="42" spans="1:18" ht="19.5" thickTop="1" x14ac:dyDescent="0.3">
      <c r="A42" s="22"/>
      <c r="B42" s="82"/>
      <c r="C42" s="83" t="s">
        <v>65</v>
      </c>
      <c r="D42" s="84" t="s">
        <v>65</v>
      </c>
      <c r="E42" s="84"/>
      <c r="F42" s="82" t="s">
        <v>65</v>
      </c>
      <c r="G42" s="84"/>
      <c r="H42" s="83"/>
      <c r="I42" s="82" t="s">
        <v>65</v>
      </c>
      <c r="J42" s="84"/>
      <c r="K42" s="84"/>
      <c r="L42" s="84"/>
      <c r="M42" s="84"/>
      <c r="N42" s="85"/>
      <c r="O42" s="86">
        <v>0.68500000000000005</v>
      </c>
      <c r="P42" s="87" t="s">
        <v>101</v>
      </c>
      <c r="Q42" s="10"/>
      <c r="R42" t="s">
        <v>14</v>
      </c>
    </row>
    <row r="43" spans="1:18" ht="18.75" x14ac:dyDescent="0.3">
      <c r="A43" s="22"/>
      <c r="B43" s="40"/>
      <c r="C43" s="67" t="s">
        <v>65</v>
      </c>
      <c r="D43" s="42" t="s">
        <v>65</v>
      </c>
      <c r="E43" s="42"/>
      <c r="F43" s="40" t="s">
        <v>65</v>
      </c>
      <c r="G43" s="42"/>
      <c r="H43" s="67"/>
      <c r="I43" s="40"/>
      <c r="J43" s="42" t="s">
        <v>65</v>
      </c>
      <c r="K43" s="42"/>
      <c r="L43" s="42"/>
      <c r="M43" s="42"/>
      <c r="N43" s="41"/>
      <c r="O43" s="46">
        <v>1.478</v>
      </c>
      <c r="P43" s="47" t="s">
        <v>103</v>
      </c>
      <c r="Q43" s="10"/>
    </row>
    <row r="44" spans="1:18" ht="18.75" x14ac:dyDescent="0.3">
      <c r="A44" s="22"/>
      <c r="B44" s="40"/>
      <c r="C44" s="67" t="s">
        <v>65</v>
      </c>
      <c r="D44" s="42" t="s">
        <v>65</v>
      </c>
      <c r="E44" s="42"/>
      <c r="F44" s="40" t="s">
        <v>65</v>
      </c>
      <c r="G44" s="42"/>
      <c r="H44" s="67"/>
      <c r="I44" s="40"/>
      <c r="J44" s="42"/>
      <c r="K44" s="42" t="s">
        <v>65</v>
      </c>
      <c r="L44" s="42"/>
      <c r="M44" s="42"/>
      <c r="N44" s="41"/>
      <c r="O44" s="46">
        <v>0.78</v>
      </c>
      <c r="P44" s="47" t="s">
        <v>104</v>
      </c>
      <c r="Q44" s="10"/>
    </row>
    <row r="45" spans="1:18" ht="18.75" x14ac:dyDescent="0.3">
      <c r="A45" s="22"/>
      <c r="B45" s="40"/>
      <c r="C45" s="67" t="s">
        <v>65</v>
      </c>
      <c r="D45" s="42" t="s">
        <v>65</v>
      </c>
      <c r="E45" s="42"/>
      <c r="F45" s="40" t="s">
        <v>65</v>
      </c>
      <c r="G45" s="42"/>
      <c r="H45" s="67"/>
      <c r="I45" s="40"/>
      <c r="J45" s="42"/>
      <c r="K45" s="42"/>
      <c r="L45" s="42" t="s">
        <v>65</v>
      </c>
      <c r="M45" s="42"/>
      <c r="N45" s="41"/>
      <c r="O45" s="46">
        <v>0.59499999999999997</v>
      </c>
      <c r="P45" s="47" t="s">
        <v>105</v>
      </c>
      <c r="Q45" s="10"/>
    </row>
    <row r="46" spans="1:18" ht="18.75" x14ac:dyDescent="0.3">
      <c r="A46" s="22"/>
      <c r="B46" s="40"/>
      <c r="C46" s="67" t="s">
        <v>65</v>
      </c>
      <c r="D46" s="42" t="s">
        <v>65</v>
      </c>
      <c r="E46" s="42"/>
      <c r="F46" s="40" t="s">
        <v>65</v>
      </c>
      <c r="G46" s="42"/>
      <c r="H46" s="67"/>
      <c r="I46" s="40"/>
      <c r="J46" s="42"/>
      <c r="K46" s="42"/>
      <c r="L46" s="42"/>
      <c r="M46" s="42" t="s">
        <v>65</v>
      </c>
      <c r="N46" s="41"/>
      <c r="O46" s="44">
        <v>1.4119999999999999</v>
      </c>
      <c r="P46" s="45" t="s">
        <v>106</v>
      </c>
      <c r="Q46" s="10"/>
    </row>
    <row r="47" spans="1:18" ht="19.5" thickBot="1" x14ac:dyDescent="0.35">
      <c r="A47" s="22"/>
      <c r="B47" s="48"/>
      <c r="C47" s="70" t="s">
        <v>65</v>
      </c>
      <c r="D47" s="50" t="s">
        <v>65</v>
      </c>
      <c r="E47" s="50"/>
      <c r="F47" s="48" t="s">
        <v>65</v>
      </c>
      <c r="G47" s="50"/>
      <c r="H47" s="70"/>
      <c r="I47" s="48"/>
      <c r="J47" s="50"/>
      <c r="K47" s="50"/>
      <c r="L47" s="50"/>
      <c r="M47" s="50"/>
      <c r="N47" s="49" t="s">
        <v>65</v>
      </c>
      <c r="O47" s="52">
        <v>0.55400000000000005</v>
      </c>
      <c r="P47" s="53" t="s">
        <v>107</v>
      </c>
      <c r="Q47" s="10"/>
    </row>
    <row r="48" spans="1:18" ht="18.75" x14ac:dyDescent="0.3">
      <c r="A48" s="22"/>
      <c r="B48" s="54"/>
      <c r="C48" s="88" t="s">
        <v>65</v>
      </c>
      <c r="D48" s="56" t="s">
        <v>65</v>
      </c>
      <c r="E48" s="56"/>
      <c r="F48" s="54"/>
      <c r="G48" s="56" t="s">
        <v>65</v>
      </c>
      <c r="H48" s="88"/>
      <c r="I48" s="54" t="s">
        <v>65</v>
      </c>
      <c r="J48" s="56"/>
      <c r="K48" s="56"/>
      <c r="L48" s="56"/>
      <c r="M48" s="56"/>
      <c r="N48" s="55"/>
      <c r="O48" s="58">
        <v>0.68799999999999994</v>
      </c>
      <c r="P48" s="59" t="s">
        <v>108</v>
      </c>
      <c r="Q48" s="10"/>
      <c r="R48" t="s">
        <v>14</v>
      </c>
    </row>
    <row r="49" spans="1:18" ht="18.75" x14ac:dyDescent="0.3">
      <c r="A49" s="22"/>
      <c r="B49" s="40"/>
      <c r="C49" s="67" t="s">
        <v>65</v>
      </c>
      <c r="D49" s="42" t="s">
        <v>65</v>
      </c>
      <c r="E49" s="42"/>
      <c r="F49" s="40"/>
      <c r="G49" s="42" t="s">
        <v>65</v>
      </c>
      <c r="H49" s="67"/>
      <c r="I49" s="40"/>
      <c r="J49" s="42" t="s">
        <v>65</v>
      </c>
      <c r="K49" s="42"/>
      <c r="L49" s="42"/>
      <c r="M49" s="42"/>
      <c r="N49" s="41"/>
      <c r="O49" s="46">
        <v>1.244</v>
      </c>
      <c r="P49" s="47" t="s">
        <v>109</v>
      </c>
      <c r="Q49" s="10"/>
    </row>
    <row r="50" spans="1:18" ht="18.75" x14ac:dyDescent="0.3">
      <c r="A50" s="22"/>
      <c r="B50" s="40"/>
      <c r="C50" s="67" t="s">
        <v>65</v>
      </c>
      <c r="D50" s="42" t="s">
        <v>65</v>
      </c>
      <c r="E50" s="42"/>
      <c r="F50" s="40"/>
      <c r="G50" s="42" t="s">
        <v>65</v>
      </c>
      <c r="H50" s="67"/>
      <c r="I50" s="40"/>
      <c r="J50" s="42"/>
      <c r="K50" s="42" t="s">
        <v>65</v>
      </c>
      <c r="L50" s="42"/>
      <c r="M50" s="42"/>
      <c r="N50" s="41"/>
      <c r="O50" s="68">
        <v>0.57599999999999996</v>
      </c>
      <c r="P50" s="69" t="s">
        <v>110</v>
      </c>
      <c r="Q50" s="10"/>
    </row>
    <row r="51" spans="1:18" ht="18.75" x14ac:dyDescent="0.3">
      <c r="A51" s="22"/>
      <c r="B51" s="40"/>
      <c r="C51" s="67" t="s">
        <v>65</v>
      </c>
      <c r="D51" s="42" t="s">
        <v>65</v>
      </c>
      <c r="E51" s="42"/>
      <c r="F51" s="40"/>
      <c r="G51" s="42" t="s">
        <v>65</v>
      </c>
      <c r="H51" s="67"/>
      <c r="I51" s="40"/>
      <c r="J51" s="42"/>
      <c r="K51" s="42"/>
      <c r="L51" s="42" t="s">
        <v>65</v>
      </c>
      <c r="M51" s="42"/>
      <c r="N51" s="41"/>
      <c r="O51" s="46">
        <v>1.2190000000000001</v>
      </c>
      <c r="P51" s="47" t="s">
        <v>111</v>
      </c>
      <c r="Q51" s="10"/>
    </row>
    <row r="52" spans="1:18" ht="18.75" x14ac:dyDescent="0.3">
      <c r="A52" s="22"/>
      <c r="B52" s="40"/>
      <c r="C52" s="67" t="s">
        <v>65</v>
      </c>
      <c r="D52" s="42" t="s">
        <v>65</v>
      </c>
      <c r="E52" s="42"/>
      <c r="F52" s="40"/>
      <c r="G52" s="42" t="s">
        <v>65</v>
      </c>
      <c r="H52" s="67"/>
      <c r="I52" s="40"/>
      <c r="J52" s="42"/>
      <c r="K52" s="42"/>
      <c r="L52" s="42"/>
      <c r="M52" s="42" t="s">
        <v>65</v>
      </c>
      <c r="N52" s="41"/>
      <c r="O52" s="46">
        <v>1.2110000000000001</v>
      </c>
      <c r="P52" s="47" t="s">
        <v>112</v>
      </c>
      <c r="Q52" s="10"/>
    </row>
    <row r="53" spans="1:18" ht="19.5" thickBot="1" x14ac:dyDescent="0.35">
      <c r="A53" s="22"/>
      <c r="B53" s="60"/>
      <c r="C53" s="89" t="s">
        <v>65</v>
      </c>
      <c r="D53" s="62" t="s">
        <v>65</v>
      </c>
      <c r="E53" s="62"/>
      <c r="F53" s="60"/>
      <c r="G53" s="62" t="s">
        <v>65</v>
      </c>
      <c r="H53" s="89"/>
      <c r="I53" s="60"/>
      <c r="J53" s="62"/>
      <c r="K53" s="62"/>
      <c r="L53" s="62"/>
      <c r="M53" s="62"/>
      <c r="N53" s="61" t="s">
        <v>65</v>
      </c>
      <c r="O53" s="64">
        <v>0.876</v>
      </c>
      <c r="P53" s="65" t="s">
        <v>113</v>
      </c>
      <c r="Q53" s="10"/>
    </row>
    <row r="54" spans="1:18" ht="18.75" x14ac:dyDescent="0.3">
      <c r="A54" s="22"/>
      <c r="B54" s="34"/>
      <c r="C54" s="66" t="s">
        <v>65</v>
      </c>
      <c r="D54" s="36" t="s">
        <v>65</v>
      </c>
      <c r="E54" s="36"/>
      <c r="F54" s="34"/>
      <c r="G54" s="36"/>
      <c r="H54" s="66" t="s">
        <v>65</v>
      </c>
      <c r="I54" s="34" t="s">
        <v>65</v>
      </c>
      <c r="J54" s="36"/>
      <c r="K54" s="36"/>
      <c r="L54" s="36"/>
      <c r="M54" s="36"/>
      <c r="N54" s="35"/>
      <c r="O54" s="90">
        <v>0.83199999999999996</v>
      </c>
      <c r="P54" s="91" t="s">
        <v>114</v>
      </c>
      <c r="Q54" s="10"/>
      <c r="R54" t="s">
        <v>14</v>
      </c>
    </row>
    <row r="55" spans="1:18" ht="18.75" x14ac:dyDescent="0.3">
      <c r="A55" s="22"/>
      <c r="B55" s="40"/>
      <c r="C55" s="67" t="s">
        <v>65</v>
      </c>
      <c r="D55" s="42" t="s">
        <v>65</v>
      </c>
      <c r="E55" s="42"/>
      <c r="F55" s="40"/>
      <c r="G55" s="42"/>
      <c r="H55" s="67" t="s">
        <v>65</v>
      </c>
      <c r="I55" s="40"/>
      <c r="J55" s="42" t="s">
        <v>65</v>
      </c>
      <c r="K55" s="42"/>
      <c r="L55" s="42"/>
      <c r="M55" s="42"/>
      <c r="N55" s="41"/>
      <c r="O55" s="46">
        <v>0.95699999999999996</v>
      </c>
      <c r="P55" s="47" t="s">
        <v>115</v>
      </c>
      <c r="Q55" s="10"/>
    </row>
    <row r="56" spans="1:18" ht="18.75" x14ac:dyDescent="0.3">
      <c r="A56" s="22"/>
      <c r="B56" s="40"/>
      <c r="C56" s="67" t="s">
        <v>65</v>
      </c>
      <c r="D56" s="42" t="s">
        <v>65</v>
      </c>
      <c r="E56" s="42"/>
      <c r="F56" s="40"/>
      <c r="G56" s="42"/>
      <c r="H56" s="67" t="s">
        <v>65</v>
      </c>
      <c r="I56" s="40"/>
      <c r="J56" s="42"/>
      <c r="K56" s="42" t="s">
        <v>65</v>
      </c>
      <c r="L56" s="42"/>
      <c r="M56" s="42"/>
      <c r="N56" s="41"/>
      <c r="O56" s="68">
        <v>0.503</v>
      </c>
      <c r="P56" s="69" t="s">
        <v>116</v>
      </c>
      <c r="Q56" s="10"/>
    </row>
    <row r="57" spans="1:18" ht="18.75" x14ac:dyDescent="0.3">
      <c r="A57" s="22"/>
      <c r="B57" s="40"/>
      <c r="C57" s="67" t="s">
        <v>65</v>
      </c>
      <c r="D57" s="42" t="s">
        <v>65</v>
      </c>
      <c r="E57" s="42"/>
      <c r="F57" s="40"/>
      <c r="G57" s="42"/>
      <c r="H57" s="67" t="s">
        <v>65</v>
      </c>
      <c r="I57" s="40"/>
      <c r="J57" s="42"/>
      <c r="K57" s="42"/>
      <c r="L57" s="42" t="s">
        <v>65</v>
      </c>
      <c r="M57" s="42"/>
      <c r="N57" s="41"/>
      <c r="O57" s="46">
        <v>0.85399999999999998</v>
      </c>
      <c r="P57" s="47" t="s">
        <v>117</v>
      </c>
      <c r="Q57" s="10"/>
    </row>
    <row r="58" spans="1:18" ht="18.75" x14ac:dyDescent="0.3">
      <c r="A58" s="22"/>
      <c r="B58" s="40"/>
      <c r="C58" s="67" t="s">
        <v>65</v>
      </c>
      <c r="D58" s="42" t="s">
        <v>65</v>
      </c>
      <c r="E58" s="42"/>
      <c r="F58" s="40"/>
      <c r="G58" s="42"/>
      <c r="H58" s="67" t="s">
        <v>65</v>
      </c>
      <c r="I58" s="40"/>
      <c r="J58" s="42"/>
      <c r="K58" s="42"/>
      <c r="L58" s="42"/>
      <c r="M58" s="42" t="s">
        <v>65</v>
      </c>
      <c r="N58" s="41"/>
      <c r="O58" s="46">
        <v>0.96199999999999997</v>
      </c>
      <c r="P58" s="47" t="s">
        <v>118</v>
      </c>
      <c r="Q58" s="10"/>
    </row>
    <row r="59" spans="1:18" ht="19.5" thickBot="1" x14ac:dyDescent="0.35">
      <c r="A59" s="22"/>
      <c r="B59" s="48"/>
      <c r="C59" s="70" t="s">
        <v>65</v>
      </c>
      <c r="D59" s="50" t="s">
        <v>65</v>
      </c>
      <c r="E59" s="50"/>
      <c r="F59" s="48"/>
      <c r="G59" s="50"/>
      <c r="H59" s="70" t="s">
        <v>65</v>
      </c>
      <c r="I59" s="48"/>
      <c r="J59" s="50"/>
      <c r="K59" s="50"/>
      <c r="L59" s="50"/>
      <c r="M59" s="50"/>
      <c r="N59" s="49" t="s">
        <v>65</v>
      </c>
      <c r="O59" s="52">
        <v>0.878</v>
      </c>
      <c r="P59" s="53" t="s">
        <v>119</v>
      </c>
      <c r="Q59" s="10"/>
    </row>
    <row r="60" spans="1:18" ht="19.5" thickTop="1" x14ac:dyDescent="0.3">
      <c r="A60" s="22"/>
      <c r="B60" s="71"/>
      <c r="C60" s="92" t="s">
        <v>65</v>
      </c>
      <c r="D60" s="73"/>
      <c r="E60" s="73" t="s">
        <v>65</v>
      </c>
      <c r="F60" s="71" t="s">
        <v>65</v>
      </c>
      <c r="G60" s="73"/>
      <c r="H60" s="92"/>
      <c r="I60" s="71" t="s">
        <v>65</v>
      </c>
      <c r="J60" s="73"/>
      <c r="K60" s="73"/>
      <c r="L60" s="73"/>
      <c r="M60" s="73"/>
      <c r="N60" s="72"/>
      <c r="O60" s="74">
        <v>0.51400000000000001</v>
      </c>
      <c r="P60" s="75" t="s">
        <v>120</v>
      </c>
      <c r="Q60" s="10"/>
      <c r="R60" t="s">
        <v>14</v>
      </c>
    </row>
    <row r="61" spans="1:18" ht="18.75" x14ac:dyDescent="0.3">
      <c r="A61" s="22"/>
      <c r="B61" s="40"/>
      <c r="C61" s="67" t="s">
        <v>65</v>
      </c>
      <c r="D61" s="42"/>
      <c r="E61" s="42" t="s">
        <v>65</v>
      </c>
      <c r="F61" s="40" t="s">
        <v>65</v>
      </c>
      <c r="G61" s="42"/>
      <c r="H61" s="67"/>
      <c r="I61" s="40"/>
      <c r="J61" s="42" t="s">
        <v>65</v>
      </c>
      <c r="K61" s="42"/>
      <c r="L61" s="42"/>
      <c r="M61" s="42"/>
      <c r="N61" s="41"/>
      <c r="O61" s="46">
        <v>0.76400000000000001</v>
      </c>
      <c r="P61" s="47" t="s">
        <v>121</v>
      </c>
      <c r="Q61" s="10"/>
    </row>
    <row r="62" spans="1:18" ht="18.75" x14ac:dyDescent="0.3">
      <c r="A62" s="22"/>
      <c r="B62" s="40"/>
      <c r="C62" s="67" t="s">
        <v>65</v>
      </c>
      <c r="D62" s="42"/>
      <c r="E62" s="42" t="s">
        <v>65</v>
      </c>
      <c r="F62" s="40" t="s">
        <v>65</v>
      </c>
      <c r="G62" s="42"/>
      <c r="H62" s="67"/>
      <c r="I62" s="40"/>
      <c r="J62" s="42"/>
      <c r="K62" s="42" t="s">
        <v>65</v>
      </c>
      <c r="L62" s="42"/>
      <c r="M62" s="42"/>
      <c r="N62" s="41"/>
      <c r="O62" s="46">
        <v>0.66900000000000004</v>
      </c>
      <c r="P62" s="47" t="s">
        <v>122</v>
      </c>
      <c r="Q62" s="10"/>
    </row>
    <row r="63" spans="1:18" ht="18.75" x14ac:dyDescent="0.3">
      <c r="A63" s="22"/>
      <c r="B63" s="40"/>
      <c r="C63" s="67" t="s">
        <v>65</v>
      </c>
      <c r="D63" s="42"/>
      <c r="E63" s="42" t="s">
        <v>65</v>
      </c>
      <c r="F63" s="40" t="s">
        <v>65</v>
      </c>
      <c r="G63" s="42"/>
      <c r="H63" s="67"/>
      <c r="I63" s="40"/>
      <c r="J63" s="42"/>
      <c r="K63" s="42"/>
      <c r="L63" s="42" t="s">
        <v>65</v>
      </c>
      <c r="M63" s="42"/>
      <c r="N63" s="41"/>
      <c r="O63" s="46">
        <v>0.39500000000000002</v>
      </c>
      <c r="P63" s="47" t="s">
        <v>123</v>
      </c>
      <c r="Q63" s="10"/>
    </row>
    <row r="64" spans="1:18" ht="18.75" x14ac:dyDescent="0.3">
      <c r="A64" s="22"/>
      <c r="B64" s="40"/>
      <c r="C64" s="67" t="s">
        <v>65</v>
      </c>
      <c r="D64" s="42"/>
      <c r="E64" s="42" t="s">
        <v>65</v>
      </c>
      <c r="F64" s="40" t="s">
        <v>65</v>
      </c>
      <c r="G64" s="42"/>
      <c r="H64" s="67"/>
      <c r="I64" s="40"/>
      <c r="J64" s="42"/>
      <c r="K64" s="42"/>
      <c r="L64" s="42"/>
      <c r="M64" s="42" t="s">
        <v>65</v>
      </c>
      <c r="N64" s="41"/>
      <c r="O64" s="46">
        <v>0.83399999999999996</v>
      </c>
      <c r="P64" s="47" t="s">
        <v>124</v>
      </c>
      <c r="Q64" s="10"/>
    </row>
    <row r="65" spans="1:18" ht="19.5" thickBot="1" x14ac:dyDescent="0.35">
      <c r="A65" s="22"/>
      <c r="B65" s="48"/>
      <c r="C65" s="70" t="s">
        <v>65</v>
      </c>
      <c r="D65" s="50"/>
      <c r="E65" s="50" t="s">
        <v>65</v>
      </c>
      <c r="F65" s="48" t="s">
        <v>65</v>
      </c>
      <c r="G65" s="50"/>
      <c r="H65" s="70"/>
      <c r="I65" s="48"/>
      <c r="J65" s="50"/>
      <c r="K65" s="50"/>
      <c r="L65" s="50"/>
      <c r="M65" s="50"/>
      <c r="N65" s="49" t="s">
        <v>65</v>
      </c>
      <c r="O65" s="76">
        <v>0.371</v>
      </c>
      <c r="P65" s="77" t="s">
        <v>125</v>
      </c>
      <c r="Q65" s="10"/>
    </row>
    <row r="66" spans="1:18" ht="18.75" x14ac:dyDescent="0.3">
      <c r="A66" s="22"/>
      <c r="B66" s="54"/>
      <c r="C66" s="88" t="s">
        <v>65</v>
      </c>
      <c r="D66" s="56"/>
      <c r="E66" s="56" t="s">
        <v>65</v>
      </c>
      <c r="F66" s="54"/>
      <c r="G66" s="56" t="s">
        <v>65</v>
      </c>
      <c r="H66" s="88"/>
      <c r="I66" s="54" t="s">
        <v>65</v>
      </c>
      <c r="J66" s="56"/>
      <c r="K66" s="56"/>
      <c r="L66" s="56"/>
      <c r="M66" s="56"/>
      <c r="N66" s="55"/>
      <c r="O66" s="58">
        <v>0.71599999999999997</v>
      </c>
      <c r="P66" s="59" t="s">
        <v>126</v>
      </c>
      <c r="Q66" s="10"/>
      <c r="R66" t="s">
        <v>14</v>
      </c>
    </row>
    <row r="67" spans="1:18" ht="18.75" x14ac:dyDescent="0.3">
      <c r="A67" s="22"/>
      <c r="B67" s="40"/>
      <c r="C67" s="67" t="s">
        <v>65</v>
      </c>
      <c r="D67" s="42"/>
      <c r="E67" s="42" t="s">
        <v>65</v>
      </c>
      <c r="F67" s="40"/>
      <c r="G67" s="42" t="s">
        <v>65</v>
      </c>
      <c r="H67" s="67"/>
      <c r="I67" s="40"/>
      <c r="J67" s="42" t="s">
        <v>65</v>
      </c>
      <c r="K67" s="42"/>
      <c r="L67" s="42"/>
      <c r="M67" s="42"/>
      <c r="N67" s="41"/>
      <c r="O67" s="46">
        <v>0.89200000000000002</v>
      </c>
      <c r="P67" s="47" t="s">
        <v>127</v>
      </c>
      <c r="Q67" s="10"/>
    </row>
    <row r="68" spans="1:18" ht="18.75" x14ac:dyDescent="0.3">
      <c r="A68" s="22"/>
      <c r="B68" s="40"/>
      <c r="C68" s="67" t="s">
        <v>65</v>
      </c>
      <c r="D68" s="42"/>
      <c r="E68" s="42" t="s">
        <v>65</v>
      </c>
      <c r="F68" s="40"/>
      <c r="G68" s="42" t="s">
        <v>65</v>
      </c>
      <c r="H68" s="67"/>
      <c r="I68" s="40"/>
      <c r="J68" s="42"/>
      <c r="K68" s="42" t="s">
        <v>65</v>
      </c>
      <c r="L68" s="42"/>
      <c r="M68" s="42"/>
      <c r="N68" s="41"/>
      <c r="O68" s="46">
        <v>0.68500000000000005</v>
      </c>
      <c r="P68" s="47" t="s">
        <v>128</v>
      </c>
      <c r="Q68" s="10"/>
    </row>
    <row r="69" spans="1:18" ht="18.75" x14ac:dyDescent="0.3">
      <c r="A69" s="22"/>
      <c r="B69" s="40"/>
      <c r="C69" s="67" t="s">
        <v>65</v>
      </c>
      <c r="D69" s="42"/>
      <c r="E69" s="42" t="s">
        <v>65</v>
      </c>
      <c r="F69" s="40"/>
      <c r="G69" s="42" t="s">
        <v>65</v>
      </c>
      <c r="H69" s="67"/>
      <c r="I69" s="40"/>
      <c r="J69" s="42"/>
      <c r="K69" s="42"/>
      <c r="L69" s="42" t="s">
        <v>65</v>
      </c>
      <c r="M69" s="42"/>
      <c r="N69" s="41"/>
      <c r="O69" s="46">
        <v>1.123</v>
      </c>
      <c r="P69" s="47" t="s">
        <v>129</v>
      </c>
      <c r="Q69" s="10"/>
    </row>
    <row r="70" spans="1:18" ht="18.75" x14ac:dyDescent="0.3">
      <c r="A70" s="22"/>
      <c r="B70" s="40"/>
      <c r="C70" s="67" t="s">
        <v>65</v>
      </c>
      <c r="D70" s="42"/>
      <c r="E70" s="42" t="s">
        <v>65</v>
      </c>
      <c r="F70" s="40"/>
      <c r="G70" s="42" t="s">
        <v>65</v>
      </c>
      <c r="H70" s="67"/>
      <c r="I70" s="40"/>
      <c r="J70" s="42"/>
      <c r="K70" s="42"/>
      <c r="L70" s="42"/>
      <c r="M70" s="42" t="s">
        <v>65</v>
      </c>
      <c r="N70" s="41"/>
      <c r="O70" s="46">
        <v>0.99199999999999999</v>
      </c>
      <c r="P70" s="47" t="s">
        <v>130</v>
      </c>
      <c r="Q70" s="10"/>
    </row>
    <row r="71" spans="1:18" ht="19.5" thickBot="1" x14ac:dyDescent="0.35">
      <c r="A71" s="22"/>
      <c r="B71" s="60"/>
      <c r="C71" s="89" t="s">
        <v>65</v>
      </c>
      <c r="D71" s="62"/>
      <c r="E71" s="62" t="s">
        <v>65</v>
      </c>
      <c r="F71" s="60"/>
      <c r="G71" s="62" t="s">
        <v>65</v>
      </c>
      <c r="H71" s="89"/>
      <c r="I71" s="60"/>
      <c r="J71" s="62"/>
      <c r="K71" s="62"/>
      <c r="L71" s="62"/>
      <c r="M71" s="62"/>
      <c r="N71" s="61" t="s">
        <v>65</v>
      </c>
      <c r="O71" s="64">
        <v>0.81399999999999995</v>
      </c>
      <c r="P71" s="65" t="s">
        <v>131</v>
      </c>
      <c r="Q71" s="10"/>
    </row>
    <row r="72" spans="1:18" ht="18.75" x14ac:dyDescent="0.3">
      <c r="A72" s="22"/>
      <c r="B72" s="34"/>
      <c r="C72" s="66" t="s">
        <v>65</v>
      </c>
      <c r="D72" s="36"/>
      <c r="E72" s="36" t="s">
        <v>65</v>
      </c>
      <c r="F72" s="34"/>
      <c r="G72" s="36"/>
      <c r="H72" s="66" t="s">
        <v>65</v>
      </c>
      <c r="I72" s="34" t="s">
        <v>65</v>
      </c>
      <c r="J72" s="36"/>
      <c r="K72" s="36"/>
      <c r="L72" s="36"/>
      <c r="M72" s="36"/>
      <c r="N72" s="35"/>
      <c r="O72" s="78">
        <v>1.218</v>
      </c>
      <c r="P72" s="79" t="s">
        <v>132</v>
      </c>
      <c r="Q72" s="10"/>
      <c r="R72" t="s">
        <v>14</v>
      </c>
    </row>
    <row r="73" spans="1:18" ht="18.75" x14ac:dyDescent="0.3">
      <c r="A73" s="22"/>
      <c r="B73" s="40"/>
      <c r="C73" s="67" t="s">
        <v>65</v>
      </c>
      <c r="D73" s="42"/>
      <c r="E73" s="42" t="s">
        <v>65</v>
      </c>
      <c r="F73" s="40"/>
      <c r="G73" s="42"/>
      <c r="H73" s="67" t="s">
        <v>65</v>
      </c>
      <c r="I73" s="40"/>
      <c r="J73" s="42" t="s">
        <v>65</v>
      </c>
      <c r="K73" s="42"/>
      <c r="L73" s="42"/>
      <c r="M73" s="42"/>
      <c r="N73" s="41"/>
      <c r="O73" s="46">
        <v>0.96599999999999997</v>
      </c>
      <c r="P73" s="47" t="s">
        <v>133</v>
      </c>
      <c r="Q73" s="10"/>
    </row>
    <row r="74" spans="1:18" ht="18.75" x14ac:dyDescent="0.3">
      <c r="A74" s="22"/>
      <c r="B74" s="40"/>
      <c r="C74" s="67" t="s">
        <v>65</v>
      </c>
      <c r="D74" s="42"/>
      <c r="E74" s="42" t="s">
        <v>65</v>
      </c>
      <c r="F74" s="40"/>
      <c r="G74" s="42"/>
      <c r="H74" s="67" t="s">
        <v>65</v>
      </c>
      <c r="I74" s="40"/>
      <c r="J74" s="42"/>
      <c r="K74" s="42" t="s">
        <v>65</v>
      </c>
      <c r="L74" s="42"/>
      <c r="M74" s="42"/>
      <c r="N74" s="41"/>
      <c r="O74" s="46">
        <v>0.84</v>
      </c>
      <c r="P74" s="47" t="s">
        <v>134</v>
      </c>
      <c r="Q74" s="10"/>
    </row>
    <row r="75" spans="1:18" ht="18.75" x14ac:dyDescent="0.3">
      <c r="A75" s="22"/>
      <c r="B75" s="40"/>
      <c r="C75" s="67" t="s">
        <v>65</v>
      </c>
      <c r="D75" s="42"/>
      <c r="E75" s="42" t="s">
        <v>65</v>
      </c>
      <c r="F75" s="40"/>
      <c r="G75" s="42"/>
      <c r="H75" s="67" t="s">
        <v>65</v>
      </c>
      <c r="I75" s="40"/>
      <c r="J75" s="42"/>
      <c r="K75" s="42"/>
      <c r="L75" s="42" t="s">
        <v>65</v>
      </c>
      <c r="M75" s="42"/>
      <c r="N75" s="41"/>
      <c r="O75" s="46">
        <v>1.107</v>
      </c>
      <c r="P75" s="47" t="s">
        <v>135</v>
      </c>
      <c r="Q75" s="10"/>
    </row>
    <row r="76" spans="1:18" ht="18.75" x14ac:dyDescent="0.3">
      <c r="A76" s="22"/>
      <c r="B76" s="40"/>
      <c r="C76" s="67" t="s">
        <v>65</v>
      </c>
      <c r="D76" s="42"/>
      <c r="E76" s="42" t="s">
        <v>65</v>
      </c>
      <c r="F76" s="40"/>
      <c r="G76" s="42"/>
      <c r="H76" s="67" t="s">
        <v>65</v>
      </c>
      <c r="I76" s="40"/>
      <c r="J76" s="42"/>
      <c r="K76" s="42"/>
      <c r="L76" s="42"/>
      <c r="M76" s="42" t="s">
        <v>65</v>
      </c>
      <c r="N76" s="41"/>
      <c r="O76" s="46">
        <v>1.109</v>
      </c>
      <c r="P76" s="47" t="s">
        <v>136</v>
      </c>
      <c r="Q76" s="10"/>
    </row>
    <row r="77" spans="1:18" ht="19.5" thickBot="1" x14ac:dyDescent="0.35">
      <c r="A77" s="23"/>
      <c r="B77" s="93"/>
      <c r="C77" s="94" t="s">
        <v>65</v>
      </c>
      <c r="D77" s="95"/>
      <c r="E77" s="95" t="s">
        <v>65</v>
      </c>
      <c r="F77" s="93"/>
      <c r="G77" s="95"/>
      <c r="H77" s="94" t="s">
        <v>65</v>
      </c>
      <c r="I77" s="93"/>
      <c r="J77" s="95"/>
      <c r="K77" s="95"/>
      <c r="L77" s="95"/>
      <c r="M77" s="95"/>
      <c r="N77" s="96" t="s">
        <v>65</v>
      </c>
      <c r="O77" s="97">
        <v>1.1479999999999999</v>
      </c>
      <c r="P77" s="98" t="s">
        <v>137</v>
      </c>
      <c r="Q77" s="10"/>
    </row>
    <row r="78" spans="1:18" ht="15.75" thickTop="1" x14ac:dyDescent="0.25">
      <c r="A78" s="1" t="s">
        <v>39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8" ht="15.75" x14ac:dyDescent="0.25">
      <c r="N79" s="99" t="s">
        <v>138</v>
      </c>
      <c r="O79" s="100">
        <f>MIN(O6:O77)</f>
        <v>0.371</v>
      </c>
    </row>
    <row r="80" spans="1:18" ht="15.75" x14ac:dyDescent="0.25">
      <c r="N80" s="101" t="s">
        <v>139</v>
      </c>
      <c r="O80" s="100">
        <f>MAX(O6:O77)</f>
        <v>1.7130000000000001</v>
      </c>
    </row>
    <row r="81" spans="14:15" ht="15.75" x14ac:dyDescent="0.25">
      <c r="N81" s="102" t="s">
        <v>140</v>
      </c>
      <c r="O81" s="100">
        <f>AVERAGE(O6:O77)</f>
        <v>0.94343055555555544</v>
      </c>
    </row>
  </sheetData>
  <mergeCells count="5">
    <mergeCell ref="A1:P1"/>
    <mergeCell ref="B2:C2"/>
    <mergeCell ref="D2:E2"/>
    <mergeCell ref="F2:H2"/>
    <mergeCell ref="I2:N2"/>
  </mergeCells>
  <printOptions horizontalCentered="1" verticalCentered="1"/>
  <pageMargins left="0.2" right="0.2" top="0.25" bottom="0.25" header="0" footer="0"/>
  <pageSetup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Table 1</vt:lpstr>
      <vt:lpstr>Table 2</vt:lpstr>
      <vt:lpstr>Table 3</vt:lpstr>
      <vt:lpstr>Table 4</vt:lpstr>
      <vt:lpstr>'Table 2'!_Hlk83219226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Randall Crawford</dc:creator>
  <cp:lastModifiedBy>Randall Crawford</cp:lastModifiedBy>
  <cp:lastPrinted>2025-03-30T01:38:57Z</cp:lastPrinted>
  <dcterms:created xsi:type="dcterms:W3CDTF">2025-03-06T22:42:30Z</dcterms:created>
  <dcterms:modified xsi:type="dcterms:W3CDTF">2026-02-18T20:03:15Z</dcterms:modified>
</cp:coreProperties>
</file>